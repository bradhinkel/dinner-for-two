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bradh\Documents\Claude\Projects\Dinner for Two\"/>
    </mc:Choice>
  </mc:AlternateContent>
  <xr:revisionPtr revIDLastSave="0" documentId="13_ncr:1_{3EAF2A47-3821-4462-91E8-719B62FAC6FF}" xr6:coauthVersionLast="47" xr6:coauthVersionMax="47" xr10:uidLastSave="{00000000-0000-0000-0000-000000000000}"/>
  <bookViews>
    <workbookView xWindow="803" yWindow="608" windowWidth="16680" windowHeight="9779" tabRatio="500" activeTab="1" xr2:uid="{00000000-000D-0000-FFFF-FFFF00000000}"/>
  </bookViews>
  <sheets>
    <sheet name="Summary" sheetId="1" r:id="rId1"/>
    <sheet name="Restaurants" sheetId="2" r:id="rId2"/>
  </sheets>
  <definedNames>
    <definedName name="_xlnm._FilterDatabase" localSheetId="1" hidden="1">Restaurants!$A$2:$AK$2</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4" i="1" l="1"/>
  <c r="E23" i="1"/>
  <c r="B23" i="1"/>
  <c r="E22" i="1"/>
  <c r="B22" i="1"/>
  <c r="E21" i="1"/>
  <c r="B21" i="1"/>
  <c r="E20" i="1"/>
  <c r="B20" i="1"/>
  <c r="B19" i="1"/>
  <c r="B18" i="1"/>
  <c r="B17" i="1"/>
  <c r="B16" i="1"/>
  <c r="E15" i="1"/>
  <c r="B15" i="1"/>
  <c r="E14" i="1"/>
  <c r="B14" i="1"/>
  <c r="E13" i="1"/>
  <c r="B13" i="1"/>
  <c r="E12" i="1"/>
  <c r="B12" i="1"/>
  <c r="B8" i="1"/>
  <c r="B7" i="1"/>
  <c r="B6" i="1"/>
  <c r="B5" i="1"/>
</calcChain>
</file>

<file path=xl/sharedStrings.xml><?xml version="1.0" encoding="utf-8"?>
<sst xmlns="http://schemas.openxmlformats.org/spreadsheetml/2006/main" count="3024" uniqueCount="1479">
  <si>
    <t>Dinner for Two - Seattle Catalog (live coverage)</t>
  </si>
  <si>
    <t>Verified June 19, 2026. 'Live' = Enriched &amp; web-verified open. Counts auto-update from the Restaurants sheet.</t>
  </si>
  <si>
    <t>Status</t>
  </si>
  <si>
    <t>Count</t>
  </si>
  <si>
    <t>Live (Enriched)</t>
  </si>
  <si>
    <t>Closed - drop</t>
  </si>
  <si>
    <t>Needs review</t>
  </si>
  <si>
    <t>TOTAL</t>
  </si>
  <si>
    <t>Live by Neighborhood</t>
  </si>
  <si>
    <t>Live by Price Tier</t>
  </si>
  <si>
    <t>Neighborhood</t>
  </si>
  <si>
    <t>Live</t>
  </si>
  <si>
    <t>Tier</t>
  </si>
  <si>
    <t>Capitol Hill</t>
  </si>
  <si>
    <t>$</t>
  </si>
  <si>
    <t>Ballard</t>
  </si>
  <si>
    <t>$$</t>
  </si>
  <si>
    <t>Belltown</t>
  </si>
  <si>
    <t>$$$</t>
  </si>
  <si>
    <t>Fremont</t>
  </si>
  <si>
    <t>$$$$</t>
  </si>
  <si>
    <t>Downtown</t>
  </si>
  <si>
    <t>Pike Place</t>
  </si>
  <si>
    <t>Queen Anne</t>
  </si>
  <si>
    <t>Live by Date-Night Score</t>
  </si>
  <si>
    <t>Wallingford</t>
  </si>
  <si>
    <t>Score</t>
  </si>
  <si>
    <t>Madrona</t>
  </si>
  <si>
    <t>Madrona-adjacent</t>
  </si>
  <si>
    <t>Phinney Ridge</t>
  </si>
  <si>
    <t>Greenwood</t>
  </si>
  <si>
    <t>U District</t>
  </si>
  <si>
    <t>SEED — you fill (min: Name, Neighborhood, URL)</t>
  </si>
  <si>
    <t>ENRICHMENT — Claude fills from websites + review/Google cross-check</t>
  </si>
  <si>
    <t>ID</t>
  </si>
  <si>
    <t>Restaurant Name *</t>
  </si>
  <si>
    <t>Neighborhood *</t>
  </si>
  <si>
    <t>Website URL *</t>
  </si>
  <si>
    <t>Cuisine (Primary)</t>
  </si>
  <si>
    <t>Price Tier</t>
  </si>
  <si>
    <t>Tags (your notes)</t>
  </si>
  <si>
    <t>Description</t>
  </si>
  <si>
    <t>Venue Type</t>
  </si>
  <si>
    <t>Address</t>
  </si>
  <si>
    <t>Phone</t>
  </si>
  <si>
    <t>Cuisine (Secondary)</t>
  </si>
  <si>
    <t>Dinner Hours</t>
  </si>
  <si>
    <t>Reservations</t>
  </si>
  <si>
    <t>Reservation Platform</t>
  </si>
  <si>
    <t>Vegetarian</t>
  </si>
  <si>
    <t>Vegan</t>
  </si>
  <si>
    <t>Gluten-Free</t>
  </si>
  <si>
    <t>Ambiance Tags</t>
  </si>
  <si>
    <t>Noise Level</t>
  </si>
  <si>
    <t>Date-Night Score (1-5)</t>
  </si>
  <si>
    <t>Outdoor Seating</t>
  </si>
  <si>
    <t>Rating</t>
  </si>
  <si>
    <t>Rating Count</t>
  </si>
  <si>
    <t>Review Snippet</t>
  </si>
  <si>
    <t>Hero Dish 1</t>
  </si>
  <si>
    <t>Hero Dish 2</t>
  </si>
  <si>
    <t>Avg Entree Price</t>
  </si>
  <si>
    <t>Menu URL</t>
  </si>
  <si>
    <t>Menu Format</t>
  </si>
  <si>
    <t>Menu File (local)</t>
  </si>
  <si>
    <t>Photo URL</t>
  </si>
  <si>
    <t>Latitude</t>
  </si>
  <si>
    <t>Longitude</t>
  </si>
  <si>
    <t>Menu Last Updated</t>
  </si>
  <si>
    <t>Verified Date</t>
  </si>
  <si>
    <t>Enrichment Status</t>
  </si>
  <si>
    <t>Spinasse</t>
  </si>
  <si>
    <t>https://www.spinasse.com</t>
  </si>
  <si>
    <t>Italian</t>
  </si>
  <si>
    <t>cozy;romantic;handmade-pasta</t>
  </si>
  <si>
    <t>Cascina Spinasse is Capitol Hill's temple to Piedmontese cooking, famous for tajarin — hand-cut egg pasta in butter and sage, almost translucent. The room is small, candlelit, and unapologetically romantic: the place you book when the night is supposed to matter.</t>
  </si>
  <si>
    <t>Restaurant</t>
  </si>
  <si>
    <t>1531 14th Ave, Seattle, WA 98122</t>
  </si>
  <si>
    <t>(206) 251-7673</t>
  </si>
  <si>
    <t>Piedmontese</t>
  </si>
  <si>
    <t>Sun-Thu 5-10pm; Fri-Sat 5-11pm</t>
  </si>
  <si>
    <t>Yes</t>
  </si>
  <si>
    <t>Tock/Direct</t>
  </si>
  <si>
    <t>Y</t>
  </si>
  <si>
    <t>N</t>
  </si>
  <si>
    <t>Romantic; Candlelit; Intimate</t>
  </si>
  <si>
    <t>Moderate</t>
  </si>
  <si>
    <t>1500+</t>
  </si>
  <si>
    <t>Award-winning Piemontese; hand-cut tajarin is the signature</t>
  </si>
  <si>
    <t>Tajarin al burro e salvia</t>
  </si>
  <si>
    <t>Agnolotti dal plin</t>
  </si>
  <si>
    <t>$100+ a la carte</t>
  </si>
  <si>
    <t>https://spinasse.com/menu/</t>
  </si>
  <si>
    <t>HTML</t>
  </si>
  <si>
    <t>2026-06</t>
  </si>
  <si>
    <t>2026-06-19</t>
  </si>
  <si>
    <t>Enriched</t>
  </si>
  <si>
    <t>Artusi</t>
  </si>
  <si>
    <t>https://www.artusibar.com</t>
  </si>
  <si>
    <t>cocktails;intimate</t>
  </si>
  <si>
    <t>Artusi is Spinasse's next-door aperitivo bar, grown into its own draw — negronis, Italian small plates, and a buzzy 21-and-over room. Walk in for a pre-dinner spritz or stay the night; it's flirtier and louder than its sibling, built for a date with momentum.</t>
  </si>
  <si>
    <t>Bar</t>
  </si>
  <si>
    <t>1535 14th Ave, Seattle, WA 98122</t>
  </si>
  <si>
    <t>(206) 678-8593</t>
  </si>
  <si>
    <t>Aperitivo/Small plates</t>
  </si>
  <si>
    <t>Daily 5-10pm (Fri-Sat to 11)</t>
  </si>
  <si>
    <t>Walk-in</t>
  </si>
  <si>
    <t>Walk-in (res 3+)</t>
  </si>
  <si>
    <t>Lively; Stylish; Date-friendly</t>
  </si>
  <si>
    <t>Loud</t>
  </si>
  <si>
    <t>350+</t>
  </si>
  <si>
    <t>Spinasse's aperitivo bar; cocktails + Italian snacks, 21+</t>
  </si>
  <si>
    <t>Negroni</t>
  </si>
  <si>
    <t>Seasonal cicchetti</t>
  </si>
  <si>
    <t>$25-40</t>
  </si>
  <si>
    <t>https://artusibar.com/</t>
  </si>
  <si>
    <t>Taurus Ox</t>
  </si>
  <si>
    <t>https://www.taurusox.com</t>
  </si>
  <si>
    <t>Laotian</t>
  </si>
  <si>
    <t>spicy;hip</t>
  </si>
  <si>
    <t>Taurus Ox brings Laotian cooking rarely found in Seattle to a petite Capitol Hill room — fermented, herbal, chili-bright. Lao sausage, braised pork-belly thom khem, a cult Lao burger. No reservations and a little tight on tables; right for a casual, adventurous date.</t>
  </si>
  <si>
    <t>903 19th Ave E, Seattle, WA 98112</t>
  </si>
  <si>
    <t>(206) 466-2785</t>
  </si>
  <si>
    <t>Tue-Sat 11-2pm &amp; 5-9pm</t>
  </si>
  <si>
    <t>Waitlist at door</t>
  </si>
  <si>
    <t>Hip; Cozy; Casual</t>
  </si>
  <si>
    <t>590+</t>
  </si>
  <si>
    <t>Rare Laotian menu; Lao sausage and thom khem are standouts</t>
  </si>
  <si>
    <t>Lao sausage</t>
  </si>
  <si>
    <t>Thom khem (braised pork belly)</t>
  </si>
  <si>
    <t>$15-25</t>
  </si>
  <si>
    <t>https://www.taurusox.com/</t>
  </si>
  <si>
    <t>Momiji</t>
  </si>
  <si>
    <t>https://www.momijiseattle.com</t>
  </si>
  <si>
    <t>Japanese/Sushi</t>
  </si>
  <si>
    <t>garden;cozy</t>
  </si>
  <si>
    <t>Momiji hides a serene courtyard garden behind a busy Capitol Hill block — the rare sushi room that feels like an escape. Order omakase or work the roll list; the back patio under string lights is one of the neighborhood's quietly romantic seats. Open late for a spontaneous night.</t>
  </si>
  <si>
    <t>1522 12th Ave, Seattle, WA 98122</t>
  </si>
  <si>
    <t>(206) 457-4068</t>
  </si>
  <si>
    <t>Sushi/Omakase</t>
  </si>
  <si>
    <t>Daily 4pm-12am</t>
  </si>
  <si>
    <t>OpenTable</t>
  </si>
  <si>
    <t>Garden patio; Cozy; Romantic</t>
  </si>
  <si>
    <t>2000+</t>
  </si>
  <si>
    <t>Sushi &amp; omakase around a hidden courtyard garden</t>
  </si>
  <si>
    <t>Omakase</t>
  </si>
  <si>
    <t>Capitol Hill Roll</t>
  </si>
  <si>
    <t>$30-50</t>
  </si>
  <si>
    <t>https://www.momijiseattle.com/</t>
  </si>
  <si>
    <t>Terra Plata</t>
  </si>
  <si>
    <t>https://www.terraplata.com</t>
  </si>
  <si>
    <t>Pacific NW</t>
  </si>
  <si>
    <t>rooftop;seasonal</t>
  </si>
  <si>
    <t>Terra Plata is Tamara Murphy's earth-to-plate room crowned by a covered, heated rooftop garden — greenery, herbs, and one of Capitol Hill's best al-fresco perches. The menu shifts with the season and leans Mediterranean; Monday paella night is the local ritual. Book the roof when weather turns.</t>
  </si>
  <si>
    <t>1501 Melrose Ave, Seattle, WA 98122</t>
  </si>
  <si>
    <t>(206) 325-1501</t>
  </si>
  <si>
    <t>Farm-to-table/Mediterranean</t>
  </si>
  <si>
    <t>Mon-Fri 4-10pm; Sat 9:30am-10pm; Sun 9:30am-9pm</t>
  </si>
  <si>
    <t>Rooftop garden; Charming; Seasonal</t>
  </si>
  <si>
    <t>1300+</t>
  </si>
  <si>
    <t>James Beard chef Tamara Murphy; rooftop garden, Monday paella</t>
  </si>
  <si>
    <t>Paella (Mon night)</t>
  </si>
  <si>
    <t>Seasonal market plates</t>
  </si>
  <si>
    <t>https://www.terraplata.com/</t>
  </si>
  <si>
    <t>Rione XIII</t>
  </si>
  <si>
    <t>https://www.ethanstowellrestaurants.com</t>
  </si>
  <si>
    <t>neighborhood;wine</t>
  </si>
  <si>
    <t>Rione XIII channels Rome's Trastevere on 15th Ave — fried artichokes, cacio e pepe, carbonara, and blistered Roman pizza, with a wine list to match. It's the Ethan Stowell room that feels most like a neighborhood trattoria: lively, warm, and easy to linger in. Reservations smooth the wait.</t>
  </si>
  <si>
    <t>401 15th Ave E, Seattle, WA 98112</t>
  </si>
  <si>
    <t>(206) 838-2878</t>
  </si>
  <si>
    <t>Roman</t>
  </si>
  <si>
    <t>Daily 5-10pm</t>
  </si>
  <si>
    <t>Neighborhood; Warm; Wine-focused</t>
  </si>
  <si>
    <t>490+</t>
  </si>
  <si>
    <t>Roman cuisine &amp; wood-fired pizza, Ethan Stowell trattoria</t>
  </si>
  <si>
    <t>Cacio e pepe</t>
  </si>
  <si>
    <t>Roman-style pizza</t>
  </si>
  <si>
    <t>$30-45</t>
  </si>
  <si>
    <t>https://ethanstowellrestaurants.com/restaurants/rione-xiii-capitol-hill-seattle</t>
  </si>
  <si>
    <t>Altura</t>
  </si>
  <si>
    <t>https://www.alturarestaurant.com</t>
  </si>
  <si>
    <t>Italian Tasting Menu</t>
  </si>
  <si>
    <t>tasting-menu;special-occasion</t>
  </si>
  <si>
    <t>Altura is Capitol Hill's special-occasion summit — Nathan Lockwood's weekly-changing Italian-Pacific Northwest tasting menu in a hushed, candlelit room over a long, unhurried evening. At $137 a person it's a commitment, and the kind of night you book when the occasion deserves one. Reserve directly.</t>
  </si>
  <si>
    <t>617 Broadway E, Seattle, WA 98102</t>
  </si>
  <si>
    <t>(206) 402-6749</t>
  </si>
  <si>
    <t>Italian-PNW tasting</t>
  </si>
  <si>
    <t>Tue-Thu 5:30-10pm; Fri-Sat 5-10pm</t>
  </si>
  <si>
    <t>Direct (not OpenTable)</t>
  </si>
  <si>
    <t>Romantic; Hushed; Special-occasion</t>
  </si>
  <si>
    <t>Quiet</t>
  </si>
  <si>
    <t>700+</t>
  </si>
  <si>
    <t>Weekly-changing Italian-PNW tasting menu, $137pp</t>
  </si>
  <si>
    <t>Chef's tasting menu</t>
  </si>
  <si>
    <t>Handmade pasta course</t>
  </si>
  <si>
    <t>$137 prix fixe</t>
  </si>
  <si>
    <t>https://alturarestaurant.com/</t>
  </si>
  <si>
    <t>Jeffry's (formerly Bateau)</t>
  </si>
  <si>
    <t>https://www.sea-creatures.com/</t>
  </si>
  <si>
    <t>Steakhouse</t>
  </si>
  <si>
    <t>craft-butchery;romantic</t>
  </si>
  <si>
    <t>Jeffry's is the 2026 reboot of Renee Erickson's beloved Bateau — same in-house dry-aged beef, leaner and more approachable, with a 'Humble Cuts' menu of lesser-known cuts. The intimate Union St room still reads like a date-night steakhouse, just with a friendlier check. Wednesday through Sunday only.</t>
  </si>
  <si>
    <t>1040 E Union St, Seattle, WA 98122</t>
  </si>
  <si>
    <t>(206) 900-8699</t>
  </si>
  <si>
    <t>Dry-aged steakhouse</t>
  </si>
  <si>
    <t>Wed-Sun 5-9pm</t>
  </si>
  <si>
    <t>Resy</t>
  </si>
  <si>
    <t>Intimate; Romantic; Refined</t>
  </si>
  <si>
    <t>430+</t>
  </si>
  <si>
    <t>Renee Erickson dry-aged steakhouse, reopened 2026 as Jeffry's</t>
  </si>
  <si>
    <t>Dry-aged steak</t>
  </si>
  <si>
    <t>Humble Cuts selection</t>
  </si>
  <si>
    <t>$45-70</t>
  </si>
  <si>
    <t>Stateside</t>
  </si>
  <si>
    <t>https://www.statesideseattle.com</t>
  </si>
  <si>
    <t>Vietnamese-French</t>
  </si>
  <si>
    <t>bright;date-friendly</t>
  </si>
  <si>
    <t>CLOSED - drop</t>
  </si>
  <si>
    <t>Witness</t>
  </si>
  <si>
    <t>https://www.witnessbar.com</t>
  </si>
  <si>
    <t>Southern</t>
  </si>
  <si>
    <t>San Fermo</t>
  </si>
  <si>
    <t>https://www.sanfermo.com</t>
  </si>
  <si>
    <t>cozy;romantic</t>
  </si>
  <si>
    <t>San Fermo is a candlelit cottage on Ballard Ave doing rustic, ingredient-driven Italian — handmade pasta like strozzapreti amatriciana, burrata to start, olive oil cake to finish. The old house feels intimate and a little hidden, the kind of cozy that makes a two-top feel like the only table. Reserve ahead.</t>
  </si>
  <si>
    <t>5341 Ballard Ave NW, Seattle, WA 98107</t>
  </si>
  <si>
    <t>(206) 342-1530</t>
  </si>
  <si>
    <t>Northern Italian</t>
  </si>
  <si>
    <t>Cozy; Candlelit; Romantic</t>
  </si>
  <si>
    <t>670+</t>
  </si>
  <si>
    <t>Cozy Ballard Ave Italian; handmade pasta, local ingredients</t>
  </si>
  <si>
    <t>Strozzapreti amatriciana</t>
  </si>
  <si>
    <t>Burrata</t>
  </si>
  <si>
    <t>The Walrus and the Carpenter</t>
  </si>
  <si>
    <t>https://www.thewalrusbar.com</t>
  </si>
  <si>
    <t>Seafood</t>
  </si>
  <si>
    <t>oysters;intimate</t>
  </si>
  <si>
    <t>The Walrus and the Carpenter is Renee Erickson's iconic oyster bar — a tiny, candlelit room where the night is built around freshly shucked oysters, steak tartare, and crisp wine. First-come only and always a little buzzy; arrive early and let a date unfold over a tower of ice and a bottle of Muscadet.</t>
  </si>
  <si>
    <t>4743 Ballard Ave NW, Seattle, WA 98107</t>
  </si>
  <si>
    <t>(206) 395-9227</t>
  </si>
  <si>
    <t>Oyster/Raw bar</t>
  </si>
  <si>
    <t>Sun-Thu 4-9pm; Fri-Sat 4-10pm</t>
  </si>
  <si>
    <t>First-come, no res</t>
  </si>
  <si>
    <t>Intimate; Buzzy; Romantic</t>
  </si>
  <si>
    <t>Renee Erickson's celebrated oyster bar; tiny and lively</t>
  </si>
  <si>
    <t>Fresh oysters</t>
  </si>
  <si>
    <t>Steak tartare</t>
  </si>
  <si>
    <t>$40-60</t>
  </si>
  <si>
    <t>https://thewalrusbar.com</t>
  </si>
  <si>
    <t>Stoneburner</t>
  </si>
  <si>
    <t>https://www.stoneburnerseattle.com</t>
  </si>
  <si>
    <t>wood-fired;warm</t>
  </si>
  <si>
    <t>Stoneburner pairs rustic Italian technique with Pacific Northwest ingredients inside Hotel Ballard — wood-fired vegetables, handmade pasta, blistered pizza in a warm, high-ceilinged room. It's lively without being loud and easy to book, a dependable date that works for a casual Tuesday or a dressed-up Saturday alike.</t>
  </si>
  <si>
    <t>5214 Ballard Ave NW, Seattle, WA 98107</t>
  </si>
  <si>
    <t>(206) 695-2051</t>
  </si>
  <si>
    <t>Italian-PNW; wood-fired</t>
  </si>
  <si>
    <t>Wed-Sat 4:30-9pm; Sun brunch + 4:30-9pm</t>
  </si>
  <si>
    <t>Warm; Wood-fired; Easy</t>
  </si>
  <si>
    <t>830+</t>
  </si>
  <si>
    <t>Rustic Italian + PNW in Hotel Ballard; handmade pasta</t>
  </si>
  <si>
    <t>Handmade pasta</t>
  </si>
  <si>
    <t>Wood-fired pizza</t>
  </si>
  <si>
    <t>https://www.stoneburnerseattle.com/menu</t>
  </si>
  <si>
    <t>Bastille Café</t>
  </si>
  <si>
    <t>https://www.bastilleseattle.com</t>
  </si>
  <si>
    <t>French</t>
  </si>
  <si>
    <t>patio;romantic</t>
  </si>
  <si>
    <t>Closed — space now Sabine Café (possible swap)</t>
  </si>
  <si>
    <t>La Carta de Oaxaca</t>
  </si>
  <si>
    <t>https://www.lacartadeoaxaca.com</t>
  </si>
  <si>
    <t>Mexican</t>
  </si>
  <si>
    <t>lively;authentic</t>
  </si>
  <si>
    <t>La Carta de Oaxaca has anchored Ballard Ave since 2003 with the city's benchmark mole negro, handmade tortillas, and mezcal. It's lively, family-run, and walk-in only, so expect a wait at the bar — part of the charm. A spirited, unfussy date over shared plates and a good cocktail.</t>
  </si>
  <si>
    <t>5431 Ballard Ave NW, Seattle, WA 98107</t>
  </si>
  <si>
    <t>(206) 782-8722</t>
  </si>
  <si>
    <t>Oaxacan</t>
  </si>
  <si>
    <t>Tue-Thu 11:30am-9:30pm; Fri-Sat to 10:30pm</t>
  </si>
  <si>
    <t>No res (popular)</t>
  </si>
  <si>
    <t>Lively; Authentic; Festive</t>
  </si>
  <si>
    <t>1400+</t>
  </si>
  <si>
    <t>Benchmark Oaxacan; famous mole negro, walk-in only</t>
  </si>
  <si>
    <t>Mole negro</t>
  </si>
  <si>
    <t>Tacos al pastor</t>
  </si>
  <si>
    <t>https://seattlemeetsoaxaca.com</t>
  </si>
  <si>
    <t>Ruam Mit Thai</t>
  </si>
  <si>
    <t>https://www.ruammitthai.com</t>
  </si>
  <si>
    <t>Thai</t>
  </si>
  <si>
    <t>casual-date</t>
  </si>
  <si>
    <t>Not found in Ballard — verify/likely closed</t>
  </si>
  <si>
    <t>Sawyer</t>
  </si>
  <si>
    <t>https://www.sawyerseattle.com</t>
  </si>
  <si>
    <t>American</t>
  </si>
  <si>
    <t>creative;fun</t>
  </si>
  <si>
    <t>Closed (2026)</t>
  </si>
  <si>
    <t>The Ballard Cut</t>
  </si>
  <si>
    <t>https://www.ballardcut.com</t>
  </si>
  <si>
    <t>whiskey;intimate</t>
  </si>
  <si>
    <t>The Ballard Cut is a moody steakhouse-meets-whiskey-bar with a 1,200-bottle list — tomahawks, aged New York strip, and a sleeper-hit spicy arrabbiata. Low light, dark wood, and a serious pour make it a grown-up date: order a dry-aged cut, let someone walk you through the rye, and settle in.</t>
  </si>
  <si>
    <t>2221 NW Market St, Seattle, WA 98107</t>
  </si>
  <si>
    <t>(564) 654-3008</t>
  </si>
  <si>
    <t>Steakhouse/New American; whiskey bar</t>
  </si>
  <si>
    <t>Mon-Thu 4-10pm; Fri-Sat 4-11pm; Sun 4-9pm</t>
  </si>
  <si>
    <t>Moody; Whiskey; Intimate</t>
  </si>
  <si>
    <t>320+</t>
  </si>
  <si>
    <t>Steakhouse + 1,200-bottle whiskey bar; tomahawk, aged strip</t>
  </si>
  <si>
    <t>Aged New York strip</t>
  </si>
  <si>
    <t>Spicy arrabbiata</t>
  </si>
  <si>
    <t>$35-60</t>
  </si>
  <si>
    <t>https://theballardcut.com/menu/</t>
  </si>
  <si>
    <t>Ocho</t>
  </si>
  <si>
    <t>https://www.ochoseattle.com</t>
  </si>
  <si>
    <t>Spanish</t>
  </si>
  <si>
    <t>tapas;romantic</t>
  </si>
  <si>
    <t>Ocho is a tiny Ballard tapas bar built for grazing — patatas bravas, tortilla española, sherried mushrooms on toast, and a deep bench of Spanish wine and sherry. No reservations and elbow-to-elbow, which is exactly why it works for a date: order a dozen small things, share everything, stay late.</t>
  </si>
  <si>
    <t>2325 NW Market St, Seattle, WA 98107</t>
  </si>
  <si>
    <t>(206) 784-0699</t>
  </si>
  <si>
    <t>Spanish tapas</t>
  </si>
  <si>
    <t>Daily, dinner to late (to 2am)</t>
  </si>
  <si>
    <t>No res (text-when-ready)</t>
  </si>
  <si>
    <t>Tiny; Romantic; Late-night</t>
  </si>
  <si>
    <t>680+</t>
  </si>
  <si>
    <t>Tiny Spanish tapas + sherry bar; grazing, no reservations</t>
  </si>
  <si>
    <t>Patatas bravas</t>
  </si>
  <si>
    <t>Tortilla española</t>
  </si>
  <si>
    <t>$15-30</t>
  </si>
  <si>
    <t>Shiro's</t>
  </si>
  <si>
    <t>https://www.shiros.com</t>
  </si>
  <si>
    <t>classic;chef-driven</t>
  </si>
  <si>
    <t>Shiro's is Seattle's Edomae sushi institution, founded by the master who put the city's raw-fish scene on the map. Sit at the bar for omakase and watch each piece set down one at a time. Spare, classic, and serious about fish — a refined date for two who'd rather talk over nigiri than noise.</t>
  </si>
  <si>
    <t>2401 2nd Ave, Seattle, WA 98121</t>
  </si>
  <si>
    <t>(206) 443-9844</t>
  </si>
  <si>
    <t>Edomae sushi/Omakase</t>
  </si>
  <si>
    <t>Daily 4:30-9pm (Fri-Sun to 9:30)</t>
  </si>
  <si>
    <t>Classic; Chef-driven; Refined</t>
  </si>
  <si>
    <t>2800+</t>
  </si>
  <si>
    <t>Seattle's original Edomae sushi; omakase $140, chef's choice $85</t>
  </si>
  <si>
    <t>Nigiri sushi course</t>
  </si>
  <si>
    <t>$85-140 omakase</t>
  </si>
  <si>
    <t>https://shiros.com/</t>
  </si>
  <si>
    <t>El Gaucho</t>
  </si>
  <si>
    <t>https://www.elgaucho.com</t>
  </si>
  <si>
    <t>classic;music</t>
  </si>
  <si>
    <t>El Gaucho is old-school supper-club theater — tuxedoed servers, tableside Caesar and bananas Foster, 28-day dry-aged beef over a charcoal grill, often a piano in the background. It's a splurge built for an occasion; book a booth, dress up, and lean into the romance of a steakhouse that still performs.</t>
  </si>
  <si>
    <t>2200 Western Ave Ste 101, Seattle, WA 98121</t>
  </si>
  <si>
    <t>(206) 728-1337</t>
  </si>
  <si>
    <t>Tue-Sat 4pm-late (to 9:30/10pm)</t>
  </si>
  <si>
    <t>SevenRooms</t>
  </si>
  <si>
    <t>Classic; Theatrical; Special-occasion</t>
  </si>
  <si>
    <t>1490+</t>
  </si>
  <si>
    <t>Old-school supper club; tableside service, dry-aged beef</t>
  </si>
  <si>
    <t>Steak El Gaucho (filet + lobster)</t>
  </si>
  <si>
    <t>Bananas Foster (tableside)</t>
  </si>
  <si>
    <t>$55-90</t>
  </si>
  <si>
    <t>https://elgaucho.com/seattle/</t>
  </si>
  <si>
    <t>List</t>
  </si>
  <si>
    <t>https://www.listbelltown.com</t>
  </si>
  <si>
    <t>small-plates;sexy</t>
  </si>
  <si>
    <t>Yelp shows CLOSED (May 2026); OpenTable still lists — verify before include</t>
  </si>
  <si>
    <t>Review</t>
  </si>
  <si>
    <t>Tilikum Place Café</t>
  </si>
  <si>
    <t>https://www.tilikumplacecafe.com</t>
  </si>
  <si>
    <t>European</t>
  </si>
  <si>
    <t>cozy;brunch-date</t>
  </si>
  <si>
    <t>Tilikum Place Café is a tucked-away little room by the Chief Sealth fountain, beloved for its giant Dutch baby pancake but quietly excellent at dinner — a short, seasonal European-leaning menu in a warm, intimate space. Dinner runs Thursday through Saturday only, so landing a table feels like a small secret.</t>
  </si>
  <si>
    <t>407 Cedar St, Seattle, WA 98121</t>
  </si>
  <si>
    <t>(206) 282-4830</t>
  </si>
  <si>
    <t>European/New American</t>
  </si>
  <si>
    <t>Dinner Thu-Sat 5-9pm; weekend brunch</t>
  </si>
  <si>
    <t>Cozy; Charming; Intimate</t>
  </si>
  <si>
    <t>2400+</t>
  </si>
  <si>
    <t>Tucked-away bistro; famed Dutch baby, limited dinner nights</t>
  </si>
  <si>
    <t>Seared halibut</t>
  </si>
  <si>
    <t>Dutch baby (brunch)</t>
  </si>
  <si>
    <t>https://www.tilikumplacecafe.com/menus</t>
  </si>
  <si>
    <t>Umi Sake House</t>
  </si>
  <si>
    <t>https://www.umisakehouse.com</t>
  </si>
  <si>
    <t>loungey;late-night</t>
  </si>
  <si>
    <t>Umi Sake House is a buzzy Belltown izakaya — a sprawling sushi list, 60-plus sakes, and a hidden tropical back patio that's the seat to request. It's loud, fun, and open late, the kind of high-energy date where you order too many rolls, work through the sake menu, and stay longer than planned.</t>
  </si>
  <si>
    <t>2230 1st Ave, Seattle, WA 98121</t>
  </si>
  <si>
    <t>(206) 374-8717</t>
  </si>
  <si>
    <t>Izakaya/Sushi</t>
  </si>
  <si>
    <t>Daily 4pm-11pm (Fri-Sat to 12am)</t>
  </si>
  <si>
    <t>Loungey; Late-night; Buzzy</t>
  </si>
  <si>
    <t>4300+</t>
  </si>
  <si>
    <t>Big izakaya sushi menu, 60+ sakes, tropical back patio</t>
  </si>
  <si>
    <t>Specialty rolls</t>
  </si>
  <si>
    <t>Izakaya small plates</t>
  </si>
  <si>
    <t>$25-45</t>
  </si>
  <si>
    <t>https://www.umisakehouse.com/menus</t>
  </si>
  <si>
    <t>Shaker + Spear</t>
  </si>
  <si>
    <t>https://www.shakerandspear.com</t>
  </si>
  <si>
    <t>modern;hotel-date</t>
  </si>
  <si>
    <t>Shaker + Spear is a polished, market-driven seafood room inside the Kimpton Palladian — Northwest fish, seasonal plates, and a cocktail list worth lingering over in a handsome 1910 building. It's a calm, grown-up hotel-restaurant date: easy to book, quietly stylish, and reliably good without the wait of Ballard's oyster bars.</t>
  </si>
  <si>
    <t>2000 2nd Ave, Seattle, WA 98121</t>
  </si>
  <si>
    <t>(206) 826-1700</t>
  </si>
  <si>
    <t>Pacific NW seafood</t>
  </si>
  <si>
    <t>Dinner daily 4:45-9pm</t>
  </si>
  <si>
    <t>Modern; Polished; Hotel-date</t>
  </si>
  <si>
    <t>1240+</t>
  </si>
  <si>
    <t>Market-driven NW seafood in the Kimpton Palladian</t>
  </si>
  <si>
    <t>Seasonal whole fish</t>
  </si>
  <si>
    <t>Seafood tower</t>
  </si>
  <si>
    <t>https://shakerandspear.com/menus</t>
  </si>
  <si>
    <t>Local 360</t>
  </si>
  <si>
    <t>https://www.local360.org</t>
  </si>
  <si>
    <t>farm-to-table</t>
  </si>
  <si>
    <t>Black Bottle</t>
  </si>
  <si>
    <t>https://www.blackbottleseattle.com</t>
  </si>
  <si>
    <t>Gastropub</t>
  </si>
  <si>
    <t>lively;shareable</t>
  </si>
  <si>
    <t>Black Bottle calls itself Seattle's first gastropub — a 21-plus Belltown gastrotavern of shareable plates and craft cocktails: smoked wild boar ribs, bacon-lemon scallops, Spanish-fried olives. Unfussy, lively, and easy on the wallet, it's a low-stakes date that rewards ordering a stack of small plates and a couple of stiff drinks.</t>
  </si>
  <si>
    <t>2600 1st Ave, Seattle, WA 98121</t>
  </si>
  <si>
    <t>(206) 441-1500</t>
  </si>
  <si>
    <t>Gastropub/shared plates</t>
  </si>
  <si>
    <t>Mon-Sat 4-10pm (Fri-Sat to 11); Sun closed</t>
  </si>
  <si>
    <t>Lively; Shareable; Casual</t>
  </si>
  <si>
    <t>1220+</t>
  </si>
  <si>
    <t>Seattle's first gastropub; shareable plates, 21+</t>
  </si>
  <si>
    <t>Smoked wild boar ribs</t>
  </si>
  <si>
    <t>Bacon-lemon scallops</t>
  </si>
  <si>
    <t>https://www.blackbottleseattle.com/</t>
  </si>
  <si>
    <t>Rob Roy</t>
  </si>
  <si>
    <t>https://www.robroyseattle.com</t>
  </si>
  <si>
    <t>Cocktail Bar</t>
  </si>
  <si>
    <t>dark;romantic</t>
  </si>
  <si>
    <t>Cocktail bar, no kitchen (only bar snacks) — exclude per dinner-only rule</t>
  </si>
  <si>
    <t>Revel</t>
  </si>
  <si>
    <t>https://www.revelseattle.com</t>
  </si>
  <si>
    <t>Korean-Fusion</t>
  </si>
  <si>
    <t>fun;creative</t>
  </si>
  <si>
    <t>Revel is Fremont's modern Korean kitchen — short-rib dumplings, scallion-and-kimchi pancakes, and rice and noodle bowls off a menu that turns over monthly. The room is communal and energetic with a sharp cocktail bar attached, a lively, creative date where the food is adventurous but the vibe stays easygoing.</t>
  </si>
  <si>
    <t>401 N 36th St, Seattle, WA 98103</t>
  </si>
  <si>
    <t>(206) 547-2040</t>
  </si>
  <si>
    <t>Korean-American</t>
  </si>
  <si>
    <t>Tue-Sun 5-9pm (Fri-Sat to 10)</t>
  </si>
  <si>
    <t>Creative; Communal; Energetic</t>
  </si>
  <si>
    <t>Modern Korean small plates, monthly menu, cocktail bar</t>
  </si>
  <si>
    <t>Kimchi-scallion pancake</t>
  </si>
  <si>
    <t>Short rib dumplings</t>
  </si>
  <si>
    <t>$18-30</t>
  </si>
  <si>
    <t>Le Coin</t>
  </si>
  <si>
    <t>https://www.lecoinseattle.com</t>
  </si>
  <si>
    <t>romantic;neighborhood</t>
  </si>
  <si>
    <t>Le Coin turned the old Buckaroo Tavern into a buzzy French-leaning bistro — Northwest seafood and game, a great caviar service, and Brussels sprouts people cross town for. Romantic without being stiff, the kind of neighborhood spot that feels like an occasion. Reservations drop on the 15th for the next month, so plan ahead.</t>
  </si>
  <si>
    <t>4201 Fremont Ave N, Seattle, WA 98103</t>
  </si>
  <si>
    <t>(206) 708-7207</t>
  </si>
  <si>
    <t>French/PNW seafood</t>
  </si>
  <si>
    <t>Dinner nightly 4-9pm (Fri-Sat to 10); brunch Thu-Sun</t>
  </si>
  <si>
    <t>Tock</t>
  </si>
  <si>
    <t>Romantic; Neighborhood-chic; Lively</t>
  </si>
  <si>
    <t>640+</t>
  </si>
  <si>
    <t>French bistro in old Buckaroo Tavern; caviar, game, seafood</t>
  </si>
  <si>
    <t>Caviar service</t>
  </si>
  <si>
    <t>Crispy Brussels sprouts</t>
  </si>
  <si>
    <t>https://lecoinseattle.com/</t>
  </si>
  <si>
    <t>Pomerol</t>
  </si>
  <si>
    <t>https://www.pomerolrestaurant.com</t>
  </si>
  <si>
    <t>wood-fired;intimate</t>
  </si>
  <si>
    <t>Closed (2026) — space now Meesha 127 (Indian)</t>
  </si>
  <si>
    <t>RockCreek</t>
  </si>
  <si>
    <t>https://www.rockcreekseattle.com</t>
  </si>
  <si>
    <t>cozy;date-night</t>
  </si>
  <si>
    <t>RockCreek is a soaring A-frame packed with globally sourced fish — Northwest oysters and crab alongside Hawaiian ono and East Coast striped bass, all arriving daily. Warm, a little loud, and consistently excellent, the reliable Fremont seafood date when you want range beyond the usual oysters and a deep cocktail list.</t>
  </si>
  <si>
    <t>4300 Fremont Ave N, Seattle, WA 98103</t>
  </si>
  <si>
    <t>(206) 557-7532</t>
  </si>
  <si>
    <t>Global seafood</t>
  </si>
  <si>
    <t>Mon-Fri 4-10pm; Sat-Sun 10am-10pm</t>
  </si>
  <si>
    <t>Cozy; Bustling; Date-night</t>
  </si>
  <si>
    <t>1360+</t>
  </si>
  <si>
    <t>Two-story A-frame; globally sourced fish, daily fresh</t>
  </si>
  <si>
    <t>Oysters &amp; shellfish</t>
  </si>
  <si>
    <t>Daily fresh fish</t>
  </si>
  <si>
    <t>https://rockcreekseafood.com/seattle-menu/</t>
  </si>
  <si>
    <t>Manolin</t>
  </si>
  <si>
    <t>https://www.manolinseattle.com</t>
  </si>
  <si>
    <t>tropical;bar</t>
  </si>
  <si>
    <t>Closed (2026) — now Old Salt Fish &amp; Bagel</t>
  </si>
  <si>
    <t>Paseo</t>
  </si>
  <si>
    <t>https://www.paseorestaurants.com</t>
  </si>
  <si>
    <t>Caribbean</t>
  </si>
  <si>
    <t>Paseo is a Seattle rite of passage — Caribbean sandwiches piled with caramelized onions and slow-roasted pork that inspire citywide devotion. It's a counter-service hole-in-the-wall, not a sit-down affair, but for a casual, messy, deeply happy date over the famous Caribbean Roast, few things beat it.</t>
  </si>
  <si>
    <t>4225 Fremont Ave N, Seattle, WA 98103</t>
  </si>
  <si>
    <t>(206) 545-7440</t>
  </si>
  <si>
    <t>Caribbean sandwiches</t>
  </si>
  <si>
    <t>Tue-Fri 11am-9pm; Sat to 8; Sun/Mon to 6</t>
  </si>
  <si>
    <t>No</t>
  </si>
  <si>
    <t>Counter service</t>
  </si>
  <si>
    <t>Casual; Iconic; No-frills</t>
  </si>
  <si>
    <t>5600+</t>
  </si>
  <si>
    <t>Cult Caribbean sandwich counter; the Caribbean Roast</t>
  </si>
  <si>
    <t>Caribbean Roast sandwich</t>
  </si>
  <si>
    <t>Pork platos</t>
  </si>
  <si>
    <t>$12-18</t>
  </si>
  <si>
    <t>https://www.paseo.com/menu</t>
  </si>
  <si>
    <t>Agrodolce</t>
  </si>
  <si>
    <t>https://www.agrodolceseattle.com</t>
  </si>
  <si>
    <t>organic;romantic</t>
  </si>
  <si>
    <t>Yelp shows CLOSED (Feb 2026); verify before include</t>
  </si>
  <si>
    <t>Red Star Taco Bar</t>
  </si>
  <si>
    <t>https://www.redstartacobar.com</t>
  </si>
  <si>
    <t>casual;fun</t>
  </si>
  <si>
    <t>Red Star Taco Bar is a 21-plus Fremont taqueria built around eclectic tacos and a serious tequila and frozen-margarita program — carnitas next to Korean BBQ and Bang Bang cauliflower. Loud, fun, and open late, an unpretentious date for two who'd rather split a dozen tacos and a pitcher than dress up.</t>
  </si>
  <si>
    <t>513 N 36th St Ste E, Seattle, WA 98103</t>
  </si>
  <si>
    <t>(206) 471-5027</t>
  </si>
  <si>
    <t>Tacos/Tequila</t>
  </si>
  <si>
    <t>Sun-Thu 11am-12am; Fri-Sat to 2am</t>
  </si>
  <si>
    <t>Walk-in (21+)</t>
  </si>
  <si>
    <t>Fun; Casual; Late-night</t>
  </si>
  <si>
    <t>530+</t>
  </si>
  <si>
    <t>Eclectic tacos + tequila, 21+, late-night</t>
  </si>
  <si>
    <t>Carnitas tacos</t>
  </si>
  <si>
    <t>Frozen margarita</t>
  </si>
  <si>
    <t>$12-22</t>
  </si>
  <si>
    <t>https://www.redstartacobar.com/</t>
  </si>
  <si>
    <t>Fiasco</t>
  </si>
  <si>
    <t>https://www.fiascoseattle.com</t>
  </si>
  <si>
    <t>Yelp shows CLOSED (Dec 2025); verify before include</t>
  </si>
  <si>
    <t>The Whale Wins</t>
  </si>
  <si>
    <t>https://www.thewhalewins.com</t>
  </si>
  <si>
    <t>bright;seasonal</t>
  </si>
  <si>
    <t>Permanently closed Oct 2025</t>
  </si>
  <si>
    <t>The Capital Grille</t>
  </si>
  <si>
    <t>https://www.thecapitalgrille.com</t>
  </si>
  <si>
    <t>classic;special-occasion</t>
  </si>
  <si>
    <t>The Capital Grille is the polished, clubby steakhouse downtown leans on for occasions — dry-aged steaks hand-cut in house, a 350-label wine list, and dark-wood booths made for lingering. It's a chain, but a serious one; for a dressed-up date or a celebration near the theaters, it delivers exactly what it promises.</t>
  </si>
  <si>
    <t>1301 4th Ave, Seattle, WA 98101</t>
  </si>
  <si>
    <t>(206) 382-0900</t>
  </si>
  <si>
    <t>Mon-Thu 5-10pm; Fri-Sat 4:30-11pm; Sun 4-9pm</t>
  </si>
  <si>
    <t>Clubby; Classic; Special-occasion</t>
  </si>
  <si>
    <t>Upscale steakhouse; in-house dry-aged beef, 350-label wine list</t>
  </si>
  <si>
    <t>Dry-aged bone-in ribeye</t>
  </si>
  <si>
    <t>Lobster mac &amp; cheese</t>
  </si>
  <si>
    <t>$45-75</t>
  </si>
  <si>
    <t>https://www.thecapitalgrille.com/menu</t>
  </si>
  <si>
    <t>The George (formerly The Georgian)</t>
  </si>
  <si>
    <t>https://www.thegeorgeseattle.com/</t>
  </si>
  <si>
    <t>Pacific NW/American</t>
  </si>
  <si>
    <t>grand;romantic</t>
  </si>
  <si>
    <t>The George - the reborn Georgian inside the Fairmont Olympic - is the grandest room downtown, all soaring ceilings and chandeliers, now an American brasserie of local seafood, handmade pasta, and signature cuts. It's pure old-world occasion: book it for an anniversary, dress the part, and let the ballroom grandeur do the romancing.</t>
  </si>
  <si>
    <t>411 University St, Seattle, WA 98101</t>
  </si>
  <si>
    <t>(206) 621-7889</t>
  </si>
  <si>
    <t>American brasserie</t>
  </si>
  <si>
    <t>Mon, Thu, Sun 5-9pm; Fri-Sat 5-9:30pm</t>
  </si>
  <si>
    <t>Grand; Opulent; Romantic</t>
  </si>
  <si>
    <t>280+</t>
  </si>
  <si>
    <t>Grand Fairmont brasserie (renamed from The Georgian)</t>
  </si>
  <si>
    <t>Local seafood</t>
  </si>
  <si>
    <t>$40-65</t>
  </si>
  <si>
    <t>Purple Café</t>
  </si>
  <si>
    <t>https://www.thepurplecafe.com</t>
  </si>
  <si>
    <t>wine;date-night</t>
  </si>
  <si>
    <t>Purple Café is built around a four-story spiral wine tower - a downtown wine bar and New American kitchen with a list deep enough to make choosing the evening's bottle the main event. Handsome and central, easy for a pre-theater or after-work date where the wine leads and the shared plates keep pace.</t>
  </si>
  <si>
    <t>1225 4th Ave, Seattle, WA 98101</t>
  </si>
  <si>
    <t>(206) 829-2280</t>
  </si>
  <si>
    <t>Wine bar</t>
  </si>
  <si>
    <t>Mon-Fri to 9-10pm; Sat-Sun to 9-10pm</t>
  </si>
  <si>
    <t>Wine-focused; Lively; Central</t>
  </si>
  <si>
    <t>3000+</t>
  </si>
  <si>
    <t>Four-story wine tower; New American wine bar (verify summer hours)</t>
  </si>
  <si>
    <t>Cheese &amp; charcuterie</t>
  </si>
  <si>
    <t>Seasonal entrees</t>
  </si>
  <si>
    <t>https://www.purplecafe.com/seattle/</t>
  </si>
  <si>
    <t>Café Campagne</t>
  </si>
  <si>
    <t>https://www.cafecampagne.com</t>
  </si>
  <si>
    <t>romantic;classic</t>
  </si>
  <si>
    <t>Café Campagne has been Seattle's classic French bistro since 1994, tucked into Post Alley below the Market bustle - steak frites, escargot, a proper apero hour, and the kind of unhurried Gallic warmth that makes a table feel like Paris. Reliably romantic, especially in the early evening before the crowds.</t>
  </si>
  <si>
    <t>1600 Post Alley, Seattle, WA 98101</t>
  </si>
  <si>
    <t>(206) 728-2233</t>
  </si>
  <si>
    <t>French bistro</t>
  </si>
  <si>
    <t>Dinner nightly 5-9pm (Sun to 8)</t>
  </si>
  <si>
    <t>Romantic; Classic; Parisian</t>
  </si>
  <si>
    <t>1380+</t>
  </si>
  <si>
    <t>Classic Post Alley French bistro since 1994</t>
  </si>
  <si>
    <t>Steak frites</t>
  </si>
  <si>
    <t>Escargot</t>
  </si>
  <si>
    <t>$28-45</t>
  </si>
  <si>
    <t>https://cafecampagne.com/menu</t>
  </si>
  <si>
    <t>Matt’s in the Market</t>
  </si>
  <si>
    <t>https://www.mattsinthemarket.com</t>
  </si>
  <si>
    <t>market-view;romantic</t>
  </si>
  <si>
    <t>Matt's in the Market is the insider's Pike Place room - a small, light-filled space overlooking the Market clock, serving Northwest seafood that changes with the day's catch. Intimate and unfussy, the kind of place locals send out-of-towners and then quietly keep for their own date nights. Book the window.</t>
  </si>
  <si>
    <t>94 Pike St Ste 32, Seattle, WA 98101</t>
  </si>
  <si>
    <t>(206) 467-7909</t>
  </si>
  <si>
    <t>Dinner nightly 5:30-10pm</t>
  </si>
  <si>
    <t>Market-view; Intimate; Romantic</t>
  </si>
  <si>
    <t>1210+</t>
  </si>
  <si>
    <t>Insider Pike Place seafood with Market clock views</t>
  </si>
  <si>
    <t>Seafood stew</t>
  </si>
  <si>
    <t>Seasonal fresh fish</t>
  </si>
  <si>
    <t>The Pink Door</t>
  </si>
  <si>
    <t>https://www.thepinkdoor.net</t>
  </si>
  <si>
    <t>Italian-American</t>
  </si>
  <si>
    <t>cabaret;romantic</t>
  </si>
  <si>
    <t>The Pink Door is Seattle's theatrical Italian institution - no sign, just a pink door off Post Alley opening onto pasta, Elliott Bay views from the deck, and live cabaret, trapeze, and tarot most nights. Romantic and a little bit circus, an unforgettable date when you want dinner to come with a show.</t>
  </si>
  <si>
    <t>1919 Post Alley, Seattle, WA 98101</t>
  </si>
  <si>
    <t>(206) 443-3241</t>
  </si>
  <si>
    <t>Tue-Sat 11:30am-11:30pm; Sun-Mon closed</t>
  </si>
  <si>
    <t>Theatrical; Romantic; Iconic</t>
  </si>
  <si>
    <t>8000+</t>
  </si>
  <si>
    <t>Hidden Italian with cabaret, trapeze, and bay-view deck</t>
  </si>
  <si>
    <t>Linguine alle vongole</t>
  </si>
  <si>
    <t>Lasagna</t>
  </si>
  <si>
    <t>https://www.thepinkdoor.net/menus</t>
  </si>
  <si>
    <t>Il Bistro</t>
  </si>
  <si>
    <t>https://www.ilbistro.net</t>
  </si>
  <si>
    <t>candlelit;romantic</t>
  </si>
  <si>
    <t>Il Bistro has hidden beneath Pike Place on a cobblestone lane since 1975 - candlelit, low-ceilinged, and unapologetically romantic, pouring Barolo alongside house-made gnocchi and a famous rack of lamb. The date you book when you want dim light and an old-school Italian hush, with the bar pouring until 2am for the lingering type.</t>
  </si>
  <si>
    <t>93 Pike St Ste A, Seattle, WA 98101</t>
  </si>
  <si>
    <t>(206) 682-3049</t>
  </si>
  <si>
    <t>Daily 5pm-2am (kitchen earlier)</t>
  </si>
  <si>
    <t>Candlelit; Romantic; Classic</t>
  </si>
  <si>
    <t>820+</t>
  </si>
  <si>
    <t>Candlelit cobblestone-lane Italian since 1975; famed lamb</t>
  </si>
  <si>
    <t>Rack of lamb</t>
  </si>
  <si>
    <t>House-made gnocchi</t>
  </si>
  <si>
    <t>https://www.ilbistro.net/</t>
  </si>
  <si>
    <t>Cutters Crabhouse</t>
  </si>
  <si>
    <t>https://www.cutterscrabhouse.com</t>
  </si>
  <si>
    <t>waterfront;view</t>
  </si>
  <si>
    <t>Cutters Crabhouse trades on one of the best dinner views in the city - floor-to-ceiling windows over Elliott Bay and the ferries - paired with Dungeness crab, Northwest seafood, and even sushi. It leans a touch touristy, but for a sunset date with the water glowing pink, the room earns it. Ask for a window table.</t>
  </si>
  <si>
    <t>2001 Western Ave, Seattle, WA 98121</t>
  </si>
  <si>
    <t>(206) 448-4884</t>
  </si>
  <si>
    <t>Seafood/waterfront</t>
  </si>
  <si>
    <t>Daily 11:30am-9pm (Fri-Sat to 9:30)</t>
  </si>
  <si>
    <t>Waterfront; View; Lively</t>
  </si>
  <si>
    <t>1960+</t>
  </si>
  <si>
    <t>Panoramic Elliott Bay views; Dungeness crab, NW seafood</t>
  </si>
  <si>
    <t>Dungeness crab</t>
  </si>
  <si>
    <t>Crab &amp; artichoke dip</t>
  </si>
  <si>
    <t>$30-55</t>
  </si>
  <si>
    <t>https://www.cutterscrabhouse.com/menus/</t>
  </si>
  <si>
    <t>Radiator Whiskey</t>
  </si>
  <si>
    <t>https://www.radiatorwhiskey.com</t>
  </si>
  <si>
    <t>bar;fun</t>
  </si>
  <si>
    <t>Radiator Whiskey is a rowdy, meat-forward 21-plus den on the top floor of the Corner Market - bourbon flights, a whole smoked pig's head for the table, brisket and cornbread. Loud, fun, and a little carnivorous, a date for two who'd rather split a pile of smoked meat and a whiskey list than whisper over candlelight.</t>
  </si>
  <si>
    <t>94 Pike St Ste 30, Seattle, WA 98101</t>
  </si>
  <si>
    <t>(206) 467-4268</t>
  </si>
  <si>
    <t>Whiskey bar/smoked meats</t>
  </si>
  <si>
    <t>Mon-Thu 3-10pm; Fri-Sat 3-11pm; Sun closed</t>
  </si>
  <si>
    <t>Rowdy; Fun; Carnivorous</t>
  </si>
  <si>
    <t>21+ whiskey + smoked meats; pig's head for two</t>
  </si>
  <si>
    <t>Smoked pig head (for 2)</t>
  </si>
  <si>
    <t>Beef brisket</t>
  </si>
  <si>
    <t>$20-40</t>
  </si>
  <si>
    <t>https://www.radiatorwhiskey.com/pikeplacemarket/</t>
  </si>
  <si>
    <t>How to Cook a Wolf</t>
  </si>
  <si>
    <t>https://howtocookawolf.com/</t>
  </si>
  <si>
    <t>intimate;romantic</t>
  </si>
  <si>
    <t>How to Cook a Wolf is Ethan Stowell's moody Queen Anne flagship - a tight menu of handmade pasta and Italian-inflected small plates on Northwest ingredients, poured alongside bold wines in a dim, intimate room. A long-running date-night favorite for good reason: refined, unhurried, and made for sharing four or five plates.</t>
  </si>
  <si>
    <t>2208 Queen Anne Ave N, Seattle, WA 98109</t>
  </si>
  <si>
    <t>(206) 838-8090</t>
  </si>
  <si>
    <t>Italian small plates</t>
  </si>
  <si>
    <t>Daily 4-10pm</t>
  </si>
  <si>
    <t>Moody; Intimate; Refined</t>
  </si>
  <si>
    <t>1200+</t>
  </si>
  <si>
    <t>Ethan Stowell's intimate Italian small-plates room</t>
  </si>
  <si>
    <t>Seasonal small plates</t>
  </si>
  <si>
    <t>$20-35</t>
  </si>
  <si>
    <t>Eden Hill</t>
  </si>
  <si>
    <t>https://www.edenhillrestaurant.com</t>
  </si>
  <si>
    <t>tasting-menu;special</t>
  </si>
  <si>
    <t>Toulouse Petit</t>
  </si>
  <si>
    <t>https://www.toulousepetit.com</t>
  </si>
  <si>
    <t>Cajun</t>
  </si>
  <si>
    <t>lively;brunch-date</t>
  </si>
  <si>
    <t>Toulouse Petit brings the French Quarter to Lower Queen Anne - a dim, ornate room of New Orleans cooking, gumbo and beignets and one of the city's best happy hours, open late. Lively rather than hushed, a fun, slightly raucous date before a show at the Seattle Center across the street.</t>
  </si>
  <si>
    <t>601 Queen Anne Ave N, Seattle, WA 98109</t>
  </si>
  <si>
    <t>(206) 432-9069</t>
  </si>
  <si>
    <t>Cajun/Creole</t>
  </si>
  <si>
    <t>Daily 3:30-11pm (Fri-Sat to 12am)</t>
  </si>
  <si>
    <t>Lively; Ornate; Festive</t>
  </si>
  <si>
    <t>5400+</t>
  </si>
  <si>
    <t>New Orleans cooking, big happy hour, beignets, open late</t>
  </si>
  <si>
    <t>Shrimp &amp; grits</t>
  </si>
  <si>
    <t>Beignets</t>
  </si>
  <si>
    <t>$20-38</t>
  </si>
  <si>
    <t>https://www.toulousepetit.com/our-menus/</t>
  </si>
  <si>
    <t>Taylor Shellfish Oyster Bar</t>
  </si>
  <si>
    <t>https://www.taylorshellfishfarms.com</t>
  </si>
  <si>
    <t>oysters;casual-date</t>
  </si>
  <si>
    <t>Taylor Shellfish's Queen Anne oyster bar is tide-to-table at its most direct - oysters, clams, and geoduck from the family's own farms, shucked while you watch, steps from the Space Needle. Casual and counter-driven, first-come only, a breezy, briny date over a dozen on the half shell and a crisp white.</t>
  </si>
  <si>
    <t>124 Republican St, Seattle, WA 98109</t>
  </si>
  <si>
    <t>(206) 501-4442</t>
  </si>
  <si>
    <t>Oyster bar/Shellfish</t>
  </si>
  <si>
    <t>Mon-Thu 12-8pm; Fri-Sat 12-9pm; Sun 12-8pm</t>
  </si>
  <si>
    <t>First-come</t>
  </si>
  <si>
    <t>Casual; Fresh; Patio</t>
  </si>
  <si>
    <t>860+</t>
  </si>
  <si>
    <t>Tide-to-table oyster bar from the 1890s shellfish family</t>
  </si>
  <si>
    <t>Oysters on the half shell</t>
  </si>
  <si>
    <t>Geoduck</t>
  </si>
  <si>
    <t>https://www.taylorshellfishfarms.com/locations/queen-anne</t>
  </si>
  <si>
    <t>Via Tribunali</t>
  </si>
  <si>
    <t>https://www.viatribunali.com</t>
  </si>
  <si>
    <t>pizza;cozy</t>
  </si>
  <si>
    <t>Via Tribunali fires certified Neapolitan pizza in a dark, candle-and-brick room atop Queen Anne - blistered margherita, clam-and-mussel frutti di mare, a short list of antipasti. Cozy and low-key, the easy weeknight date where you split a couple of pies and a Chianti without fuss or a big bill.</t>
  </si>
  <si>
    <t>317 W Galer St, Seattle, WA 98119</t>
  </si>
  <si>
    <t>(206) 264-7768</t>
  </si>
  <si>
    <t>Neapolitan pizza</t>
  </si>
  <si>
    <t>Tue-Sun 4-9pm (Fri-Sat to 10)</t>
  </si>
  <si>
    <t>Cozy; Candlelit; Casual</t>
  </si>
  <si>
    <t>290+</t>
  </si>
  <si>
    <t>Certified Neapolitan pizza in a dark, cozy room</t>
  </si>
  <si>
    <t>Margherita pizza</t>
  </si>
  <si>
    <t>Frutti di mare pizza</t>
  </si>
  <si>
    <t>$16-26</t>
  </si>
  <si>
    <t>https://www.viatribunali.com/menus/</t>
  </si>
  <si>
    <t>Grappa</t>
  </si>
  <si>
    <t>https://www.grappaseattle.com</t>
  </si>
  <si>
    <t>Mediterranean</t>
  </si>
  <si>
    <t>romantic;wine</t>
  </si>
  <si>
    <t>Grappa is a casual-elegant Mediterranean room at the top of Queen Anne - shareable mezze and small plates, handmade pasta, and a deep grappa and wine list. A reliable pre-theater date before McCaw Hall, warm and unfussy, the kind of neighborhood spot that's easy to book and hard to fault.</t>
  </si>
  <si>
    <t>2 W Boston St, Seattle, WA 98119</t>
  </si>
  <si>
    <t>(206) 829-8995</t>
  </si>
  <si>
    <t>Mediterranean/Italian</t>
  </si>
  <si>
    <t>Daily to 9-10pm</t>
  </si>
  <si>
    <t>Casual-elegant; Romantic; Warm</t>
  </si>
  <si>
    <t>Casual-elegant Mediterranean; mezze, pasta, grappa list</t>
  </si>
  <si>
    <t>Mezze small plates</t>
  </si>
  <si>
    <t>$22-38</t>
  </si>
  <si>
    <t>https://grappaseattle.com/menu/</t>
  </si>
  <si>
    <t>Peso’s</t>
  </si>
  <si>
    <t>https://www.pesoskitchen.com</t>
  </si>
  <si>
    <t>Latin</t>
  </si>
  <si>
    <t>late-night;bar</t>
  </si>
  <si>
    <t>Closed (Feb 2026)</t>
  </si>
  <si>
    <t>Citizen</t>
  </si>
  <si>
    <t>https://www.citizencoffee.com</t>
  </si>
  <si>
    <t>patio;casual-date</t>
  </si>
  <si>
    <t>Citizen is a Lower Queen Anne cafe that stretches into the evening - crepes, Vietnamese-style sandwiches, salads, and a short cocktail list, with a sunny patio near the Seattle Center. A low-key, casual date, better for a relaxed early bite than a big night, but easy and friendly with something for most appetites.</t>
  </si>
  <si>
    <t>Cafe</t>
  </si>
  <si>
    <t>706 Taylor Ave N, Seattle, WA 98109</t>
  </si>
  <si>
    <t>(206) 284-1015</t>
  </si>
  <si>
    <t>Cafe/Crepes</t>
  </si>
  <si>
    <t>Tue-Thu 3-9pm; Fri-Sun to 9-10pm</t>
  </si>
  <si>
    <t>Casual; Patio; Relaxed</t>
  </si>
  <si>
    <t>1180+</t>
  </si>
  <si>
    <t>Cafe-into-evening; crepes, banh mi, patio, cocktails</t>
  </si>
  <si>
    <t>Savory crepes</t>
  </si>
  <si>
    <t>Vietnamese-style sandwich</t>
  </si>
  <si>
    <t>$14-22</t>
  </si>
  <si>
    <t>Streamline Tavern</t>
  </si>
  <si>
    <t>https://www.streamlinetavern.com</t>
  </si>
  <si>
    <t>divey;fun</t>
  </si>
  <si>
    <t>Streamline Tavern is the quintessential Queen Anne dive - light-up sign, free peanuts, pool and darts in back, and unfussy comfort food like the Porkenstein dog and taco baskets. Not a fancy date, a fun one: cheap beer, Taco Thursdays, and zero pretense for two who'd rather play pool than read a wine list.</t>
  </si>
  <si>
    <t>174 Roy St, Seattle, WA 98109</t>
  </si>
  <si>
    <t>(206) 501-0024</t>
  </si>
  <si>
    <t>Pub/comfort food</t>
  </si>
  <si>
    <t>Daily 12pm-2am</t>
  </si>
  <si>
    <t>Divey; Fun; Casual</t>
  </si>
  <si>
    <t>117+</t>
  </si>
  <si>
    <t>Queen Anne dive bar; comfort food, pool, Taco Thursdays</t>
  </si>
  <si>
    <t>Porkenstein dog</t>
  </si>
  <si>
    <t>Taco basket</t>
  </si>
  <si>
    <t>$8-15</t>
  </si>
  <si>
    <t>Barrio Queen Anne</t>
  </si>
  <si>
    <t>https://www.barriorestaurant.com</t>
  </si>
  <si>
    <t>lively;cocktails</t>
  </si>
  <si>
    <t>Permanently closed Aug 2024 - now Mint &amp; Martini</t>
  </si>
  <si>
    <t>Tilth</t>
  </si>
  <si>
    <t>https://www.tilthrestaurant.com</t>
  </si>
  <si>
    <t>romantic;organic</t>
  </si>
  <si>
    <t>Closed (May 2026)</t>
  </si>
  <si>
    <t>Cantinetta</t>
  </si>
  <si>
    <t>https://www.cantinettaseattle.com</t>
  </si>
  <si>
    <t>Cantinetta is a warm, candlelit Tuscan room in the heart of Wallingford - daily handmade pasta (the tagliatelle and ricotta agnolotti have a following), burrata, chanterelle risotto, and a tidy Italian wine list. Quietly romantic and consistently excellent, a neighborhood date that punches above its unassuming storefront.</t>
  </si>
  <si>
    <t>3650 Wallingford Ave N, Seattle, WA 98103</t>
  </si>
  <si>
    <t>(206) 632-1000</t>
  </si>
  <si>
    <t>Tuscan</t>
  </si>
  <si>
    <t>Tue-Sun 5-9:30pm (Fri-Sat to 10)</t>
  </si>
  <si>
    <t>Candlelit; Romantic; Warm</t>
  </si>
  <si>
    <t>500+</t>
  </si>
  <si>
    <t>Candlelit Tuscan; daily handmade pasta, Italian wine</t>
  </si>
  <si>
    <t>Tagliatelle</t>
  </si>
  <si>
    <t>Ricotta agnolotti</t>
  </si>
  <si>
    <t>$24-38</t>
  </si>
  <si>
    <t>https://www.cantinettausa.com/wallingford1</t>
  </si>
  <si>
    <t>Joule</t>
  </si>
  <si>
    <t>https://www.joulerestaurant.com</t>
  </si>
  <si>
    <t>creative;date-night</t>
  </si>
  <si>
    <t>Joule is Rachel Yang's modern Korean steakhouse - short rib in chili-anchovy butter, spicy rice cakes, beef tartare, and a famous brunch, all bold and bass-forward. The room is lively and design-y, a creative, energetic date for two who want their Korean fusion adventurous and their cocktails sharp.</t>
  </si>
  <si>
    <t>3506 Stone Way N, Seattle, WA 98103</t>
  </si>
  <si>
    <t>(206) 632-5685</t>
  </si>
  <si>
    <t>Korean steakhouse/fusion</t>
  </si>
  <si>
    <t>Dinner nightly (reserve 1.75-3hr slots)</t>
  </si>
  <si>
    <t>Creative; Lively; Design-y</t>
  </si>
  <si>
    <t>1170+</t>
  </si>
  <si>
    <t>Modern Korean steakhouse; short rib, spicy rice cakes</t>
  </si>
  <si>
    <t>Short rib steak</t>
  </si>
  <si>
    <t>Spicy rice cakes</t>
  </si>
  <si>
    <t>Korean Tofu House</t>
  </si>
  <si>
    <t>https://www.koreantofuhouse.com</t>
  </si>
  <si>
    <t>Korean</t>
  </si>
  <si>
    <t>Same business as U District location (4142 Brooklyn Ave NE) - dedupe; not in Wallingford</t>
  </si>
  <si>
    <t>Pam's Caribbean Kitchen</t>
  </si>
  <si>
    <t>https://www.pams-kitchen.com</t>
  </si>
  <si>
    <t>warm;cozy</t>
  </si>
  <si>
    <t>Pam's Caribbean Kitchen is a warm, family-run Wallingford spot for Trinidadian home cooking - jerk chicken, curry goat, roti, and slow-simmered curries made fresh daily, with strong vegan and gluten-free options. Casual and generous rather than romantic, a cozy, flavorful date that won't break the bank. Wednesday is all-you-can-eat.</t>
  </si>
  <si>
    <t>1715 N 45th St, Seattle, WA 98103</t>
  </si>
  <si>
    <t>(206) 696-7010</t>
  </si>
  <si>
    <t>Trinidadian/Caribbean</t>
  </si>
  <si>
    <t>Wed-Sun (Thu-Sun 4-10/11pm; Fri from 12)</t>
  </si>
  <si>
    <t>Warm; Cozy; Casual</t>
  </si>
  <si>
    <t>Family-run Trinidadian; jerk chicken, curry goat, roti</t>
  </si>
  <si>
    <t>Curry goat</t>
  </si>
  <si>
    <t>Jerk chicken</t>
  </si>
  <si>
    <t>https://pams-kitchen.com/</t>
  </si>
  <si>
    <t>Musashi's</t>
  </si>
  <si>
    <t>https://musashis-3.wheree.com/</t>
  </si>
  <si>
    <t>intimate;chef-driven</t>
  </si>
  <si>
    <t>Musashi's is the cult cheap-sushi counter of Wallingford - fresh, generous rolls and nigiri at prices that have drawn lines for decades. Tiny, no-frills, and cash-friendly, not a special-occasion room but a beloved everyday one. A low-key, budget-happy date when you just want good fish without ceremony.</t>
  </si>
  <si>
    <t>1400 N 45th St, Seattle, WA 98103</t>
  </si>
  <si>
    <t>(206) 633-0212</t>
  </si>
  <si>
    <t>Casual sushi</t>
  </si>
  <si>
    <t>Daily 11am-9pm</t>
  </si>
  <si>
    <t>Walk-in (cash-friendly)</t>
  </si>
  <si>
    <t>Casual; No-frills; Cheap</t>
  </si>
  <si>
    <t>1370+</t>
  </si>
  <si>
    <t>Cult cheap-sushi counter; generous rolls, lines out the door</t>
  </si>
  <si>
    <t>Sushi rolls</t>
  </si>
  <si>
    <t>Nigiri sets</t>
  </si>
  <si>
    <t>Bizzarro Italian Café</t>
  </si>
  <si>
    <t>https://www.bizarroitaliancafe.com</t>
  </si>
  <si>
    <t>quirky;romantic</t>
  </si>
  <si>
    <t>Bizzarro is Wallingford's beloved oddball - nearly 40 years of eclectic, art-cluttered rooms (furniture hangs from the ceiling) and seriously good house-made pasta. Quirky and candlelit at once, a fun, unpretentious date with real cooking behind the kitsch. Sundays are spaghetti-and-meatballs by tradition.</t>
  </si>
  <si>
    <t>1307 N 46th St, Seattle, WA 98103</t>
  </si>
  <si>
    <t>(206) 632-7277</t>
  </si>
  <si>
    <t>Eclectic Italian</t>
  </si>
  <si>
    <t>Daily 3-9pm</t>
  </si>
  <si>
    <t>Quirky; Romantic; Fun</t>
  </si>
  <si>
    <t>1060+</t>
  </si>
  <si>
    <t>Eclectic 40-year Italian; house pasta, kitschy charm</t>
  </si>
  <si>
    <t>House-made pasta</t>
  </si>
  <si>
    <t>Spaghetti &amp; meatballs (Sun)</t>
  </si>
  <si>
    <t>https://www.bizzarroitaliancafe.com/wallingford</t>
  </si>
  <si>
    <t>Kisaku</t>
  </si>
  <si>
    <t>https://www.kisaku.com</t>
  </si>
  <si>
    <t>classic;quiet</t>
  </si>
  <si>
    <t>Kisaku is Tangletown's quietly excellent sushi house - pristine nigiri, a short list of clever rolls like the Green Lake, and white-tablecloth calm by night. An under-the-radar date spot, refined but unpretentious, the kind of neighborhood sushi bar regulars guard. Sit at the bar and let the chef steer.</t>
  </si>
  <si>
    <t>2101 N 55th St Ste 100, Seattle, WA 98103</t>
  </si>
  <si>
    <t>(206) 545-9050</t>
  </si>
  <si>
    <t>Sushi/Nigiri</t>
  </si>
  <si>
    <t>Mon-Thu/Sun 5-8:45pm; Fri-Sat 5-9:15pm</t>
  </si>
  <si>
    <t>Quiet; Refined; Under-the-radar</t>
  </si>
  <si>
    <t>840+</t>
  </si>
  <si>
    <t>Tangletown sushi; pristine nigiri, white-tablecloth nights</t>
  </si>
  <si>
    <t>Nigiri assortment</t>
  </si>
  <si>
    <t>Green Lake Roll</t>
  </si>
  <si>
    <t>https://www.kisaku.com/</t>
  </si>
  <si>
    <t>Union Saloon</t>
  </si>
  <si>
    <t>https://www.unionsaloon.com</t>
  </si>
  <si>
    <t>neighborhood;cozy</t>
  </si>
  <si>
    <t>Union Saloon is a snug Wallingford corner of craft beer, affordable wine, and re-envisioned comfort food that changes constantly. The horseshoe bar and easy menu make it more neighborhood-hangout than grand night out, but it's a relaxed, friendly date with cooking that takes itself just seriously enough.</t>
  </si>
  <si>
    <t>3645 Wallingford Ave N, Seattle, WA 98103</t>
  </si>
  <si>
    <t>(206) 547-2280</t>
  </si>
  <si>
    <t>American comfort/cocktail bar</t>
  </si>
  <si>
    <t>Tue-Thu 4:30-9pm; Fri-Sat to 10pm</t>
  </si>
  <si>
    <t>Cozy; Neighborhood; Relaxed</t>
  </si>
  <si>
    <t>180+</t>
  </si>
  <si>
    <t>Craft beer + re-envisioned comfort food, horseshoe bar</t>
  </si>
  <si>
    <t>Rotating comfort plates</t>
  </si>
  <si>
    <t>Burger</t>
  </si>
  <si>
    <t>https://www.unionsaloonseattle.com/dinner</t>
  </si>
  <si>
    <t>Red Cow</t>
  </si>
  <si>
    <t>https://ethanstowellrestaurants.com/restaurants/red-cow-madrona-seattle</t>
  </si>
  <si>
    <t>Red Cow is Ethan Stowell's snug French steakhouse in Madrona - steak frites, house-butchered cuts, escargot, and bold reds in a dim, brick-walled bistro. Romantic in the old Parisian way, intimate and unfussy, the neighborhood date you book when you want red wine, red meat, and low candlelight.</t>
  </si>
  <si>
    <t>1423 34th Ave, Seattle, WA 98122</t>
  </si>
  <si>
    <t>(206) 454-7932</t>
  </si>
  <si>
    <t>French steakhouse/bistro</t>
  </si>
  <si>
    <t>Romantic; Classic; Intimate</t>
  </si>
  <si>
    <t>390+</t>
  </si>
  <si>
    <t>Ethan Stowell French steakhouse; steak frites, bold reds</t>
  </si>
  <si>
    <t>Vendemmia</t>
  </si>
  <si>
    <t>https://www.vendemmia.com</t>
  </si>
  <si>
    <t>Vendemmia is Brian Clevenger's intimate Madrona Italian - silky handmade pastas (the squash agnolotti is the signature), beef tartare, seared scallops, and a thoughtful wine list in a small, serene room. Quietly romantic and reliably refined, a date built for lingering over four courses. The patio happy hour is a local secret.</t>
  </si>
  <si>
    <t>1126 34th Ave, Seattle, WA 98122</t>
  </si>
  <si>
    <t>(206) 466-2533</t>
  </si>
  <si>
    <t>Italian/New American</t>
  </si>
  <si>
    <t>267+</t>
  </si>
  <si>
    <t>Brian Clevenger Italian; squash agnolotti, scallops</t>
  </si>
  <si>
    <t>Squash agnolotti</t>
  </si>
  <si>
    <t>Beef tartare</t>
  </si>
  <si>
    <t>$26-42</t>
  </si>
  <si>
    <t>https://www.vendemmiaseattle.com/</t>
  </si>
  <si>
    <t>Bottlehouse</t>
  </si>
  <si>
    <t>https://www.bottlehouseseattle.com</t>
  </si>
  <si>
    <t>Bar/Wine</t>
  </si>
  <si>
    <t>garden;romantic</t>
  </si>
  <si>
    <t>Bottlehouse is a wine bar in a 1905 Craftsman with a string-lit garden that's pure Madrona romance - natural wines by the flight, a serious cheese-and-charcuterie program, and small plates for grazing. Relaxed and intimate, the date for two who'd rather discover an obscure bottle and share a board than commit to a tasting menu.</t>
  </si>
  <si>
    <t>1416 34th Ave, Seattle, WA 98122</t>
  </si>
  <si>
    <t>(206) 708-7164</t>
  </si>
  <si>
    <t>Wine bar/small plates</t>
  </si>
  <si>
    <t>Tue-Sun 3-9pm (Thu-Sat to 10)</t>
  </si>
  <si>
    <t>Garden; Romantic; Cozy</t>
  </si>
  <si>
    <t>420+</t>
  </si>
  <si>
    <t>Natural-wine bar in a Craftsman; cheese, charcuterie, garden</t>
  </si>
  <si>
    <t>Cheese &amp; charcuterie board</t>
  </si>
  <si>
    <t>https://bottlehouseseattle.com/</t>
  </si>
  <si>
    <t>Hi Spot Café</t>
  </si>
  <si>
    <t>https://www.hispotcafe.com</t>
  </si>
  <si>
    <t>brunch-date</t>
  </si>
  <si>
    <t>Breakfast/lunch only (closes 3pm), no dinner - exclude per dinner-only rule</t>
  </si>
  <si>
    <t>Madrona Arms</t>
  </si>
  <si>
    <t>https://www.madronaarms.com</t>
  </si>
  <si>
    <t>casual;neighborhood</t>
  </si>
  <si>
    <t>Madrona Arms is a proper British-Irish corner pub - Guinness on tap, fish and chips, bangers and mash, shepherd's pie, and a Madrona burger locals swear by. Warm, woody, and unpretentious, a low-key date for two who want a pint and comfort food rather than a scene. Walk in and settle into a booth.</t>
  </si>
  <si>
    <t>1138 34th Ave, Seattle, WA 98122</t>
  </si>
  <si>
    <t>(206) 739-5104</t>
  </si>
  <si>
    <t>British/Irish gastropub</t>
  </si>
  <si>
    <t>Mon-Thu 11:30am-11pm; Fri-Sat to 12am; Sun to 10</t>
  </si>
  <si>
    <t>Cozy; Neighborhood; Pub</t>
  </si>
  <si>
    <t>130+</t>
  </si>
  <si>
    <t>British-Irish pub; Guinness, fish &amp; chips, shepherd's pie</t>
  </si>
  <si>
    <t>Fish and chips</t>
  </si>
  <si>
    <t>Bangers and mash</t>
  </si>
  <si>
    <t>http://www.madronaarms.com/menu</t>
  </si>
  <si>
    <t>Nirmal's</t>
  </si>
  <si>
    <t>https://www.nirmalseattle.com</t>
  </si>
  <si>
    <t>Indian</t>
  </si>
  <si>
    <t>romantic;refined</t>
  </si>
  <si>
    <t>Nirmal's brings polished, regional Indian to a handsome Pioneer Square room - goat curry, dal makhani, kofta, and one of the city's best vegetarian and vegan rosters, plated with real care. Refined without being stuffy, a romantic date that proves Indian cooking belongs in the special-occasion conversation.</t>
  </si>
  <si>
    <t>106 Occidental Ave S, Seattle, WA 98104</t>
  </si>
  <si>
    <t>(206) 683-9701</t>
  </si>
  <si>
    <t>Regional Indian</t>
  </si>
  <si>
    <t>Daily 5:30-10pm</t>
  </si>
  <si>
    <t>Refined; Romantic; Upscale</t>
  </si>
  <si>
    <t>1050+</t>
  </si>
  <si>
    <t>Upscale regional Indian in Pioneer Square; strong veg/vegan</t>
  </si>
  <si>
    <t>Goat curry</t>
  </si>
  <si>
    <t>Dal makhani</t>
  </si>
  <si>
    <t>$22-36</t>
  </si>
  <si>
    <t>https://www.nirmalseattle.com/</t>
  </si>
  <si>
    <t>Cafe Soleil</t>
  </si>
  <si>
    <t>https://www.cafesoleil.com</t>
  </si>
  <si>
    <t>Ethiopian</t>
  </si>
  <si>
    <t>cozy;casual-date</t>
  </si>
  <si>
    <t>Cafe Soleil has served Madrona for three decades with a split personality - American brunch by day, authentic Ethiopian by night. Dinner means communal platters of doro wat and vegetarian combos scooped up with injera, the kind of hands-on, shared meal that makes for a warm, conversational date. Cozy, casual, and deeply veg-friendly.</t>
  </si>
  <si>
    <t>1400 34th Ave, Seattle, WA 98122</t>
  </si>
  <si>
    <t>(206) 325-1126</t>
  </si>
  <si>
    <t>Wed-Fri 5-9pm; Sat 5-8pm</t>
  </si>
  <si>
    <t>Cozy; Casual; Communal</t>
  </si>
  <si>
    <t>110+</t>
  </si>
  <si>
    <t>Ethiopian dinner + American brunch since 1994</t>
  </si>
  <si>
    <t>Doro wat</t>
  </si>
  <si>
    <t>Vegetarian combo</t>
  </si>
  <si>
    <t>$15-24</t>
  </si>
  <si>
    <t>https://cafesoleil.net/</t>
  </si>
  <si>
    <t>St. Clouds</t>
  </si>
  <si>
    <t>https://www.stclouds.com</t>
  </si>
  <si>
    <t>neighborhood;warm</t>
  </si>
  <si>
    <t>The Harvest Vine</t>
  </si>
  <si>
    <t>https://www.harvestvine.com</t>
  </si>
  <si>
    <t>The Harvest Vine is Seattle's enduring Basque tapas room - sit at the copper chef's counter and watch plate after plate of grilled prawns, jamon, and seasonal pintxos emerge, paired with an all-Spanish cellar. Snug, candlelit, and built for two, one of the most quietly romantic counters in the city. Book the kitchen bar.</t>
  </si>
  <si>
    <t>2701 E Madison St, Seattle, WA 98112</t>
  </si>
  <si>
    <t>(206) 320-9771</t>
  </si>
  <si>
    <t>Basque/Spanish tapas</t>
  </si>
  <si>
    <t>Daily 5-9pm</t>
  </si>
  <si>
    <t>Intimate; Romantic; Chef's counter</t>
  </si>
  <si>
    <t>766+</t>
  </si>
  <si>
    <t>Enduring Basque tapas; copper chef's counter, Spanish wine</t>
  </si>
  <si>
    <t>Grilled prawns</t>
  </si>
  <si>
    <t>Seasonal pintxos</t>
  </si>
  <si>
    <t>https://www.harvestvine.com/</t>
  </si>
  <si>
    <t>L'Oursin</t>
  </si>
  <si>
    <t>https://www.loursinseattle.com</t>
  </si>
  <si>
    <t>wine;romantic</t>
  </si>
  <si>
    <t>L'Oursin pairs French seafood with a deep natural-wine list in an intimate Central District room - oysters, raw scallops, a rotating peche du jour, and snacks like harissa panisse. A wine-lover's date, low-lit and unhurried, where the bottle is half the conversation. Walk-ins welcome at the bar and patio.</t>
  </si>
  <si>
    <t>1315 E Jefferson St, Seattle, WA 98122</t>
  </si>
  <si>
    <t>(206) 485-7173</t>
  </si>
  <si>
    <t>French seafood/natural wine</t>
  </si>
  <si>
    <t>Sun-Thu 5-9pm; Fri-Sat 5-9:30pm</t>
  </si>
  <si>
    <t>Intimate; Wine-forward; Romantic</t>
  </si>
  <si>
    <t>182+</t>
  </si>
  <si>
    <t>French seafood + natural wine, intimate Central District room</t>
  </si>
  <si>
    <t>Oysters</t>
  </si>
  <si>
    <t>Peche du jour</t>
  </si>
  <si>
    <t>$25-42</t>
  </si>
  <si>
    <t>https://www.loursinseattle.com/</t>
  </si>
  <si>
    <t>The Blue Glass</t>
  </si>
  <si>
    <t>https://www.theblueglass.com</t>
  </si>
  <si>
    <t>cozy;neighborhood</t>
  </si>
  <si>
    <t>The Blue Glass is a cozy 21-plus garden house on the Phinney-Ballard line - elevated global comfort food, seafood and steak, craft cocktails, and a covered front patio strung for evenings. Intimate and a little hidden, the kind of relaxed neighborhood date where the cocktails are serious and the room never gets too loud.</t>
  </si>
  <si>
    <t>704 NW 65th St, Seattle, WA 98117</t>
  </si>
  <si>
    <t>(206) 420-1631</t>
  </si>
  <si>
    <t>New American/seafood-steak</t>
  </si>
  <si>
    <t>Daily 4-9pm</t>
  </si>
  <si>
    <t>Cozy; Garden patio; Intimate</t>
  </si>
  <si>
    <t>356+</t>
  </si>
  <si>
    <t>21+ garden house; global comfort, seafood, steak, cocktails</t>
  </si>
  <si>
    <t>Seafood plates</t>
  </si>
  <si>
    <t>Steak</t>
  </si>
  <si>
    <t>https://www.theblueglass.org/menus</t>
  </si>
  <si>
    <t>Cornuto</t>
  </si>
  <si>
    <t>https://www.cornutopizzeria.com</t>
  </si>
  <si>
    <t>pizza;romantic</t>
  </si>
  <si>
    <t>Cornuto is Via Tribunali's Phinney Ridge pizzeria - proper wood-fired Neapolitan pies (the Bufalina DOC is the order), a tight cocktail list, and tiramisu worth saving room for. Small and candle-warm, an easy, affordable date where you split a couple of blistered pizzas and a bottle of Italian red.</t>
  </si>
  <si>
    <t>7404 Greenwood Ave N, Seattle, WA 98103</t>
  </si>
  <si>
    <t>(206) 812-0416</t>
  </si>
  <si>
    <t>Wed-Sun 4-9:30pm</t>
  </si>
  <si>
    <t>271+</t>
  </si>
  <si>
    <t>Via Tribunali's Phinney pizzeria; wood-fired Neapolitan</t>
  </si>
  <si>
    <t>Bufalina DOC pizza</t>
  </si>
  <si>
    <t>Tiramisu</t>
  </si>
  <si>
    <t>https://www.cornutopizzeria.com/</t>
  </si>
  <si>
    <t>Windy City Pie</t>
  </si>
  <si>
    <t>https://www.windycitypie.com</t>
  </si>
  <si>
    <t>Pizza</t>
  </si>
  <si>
    <t>Windy City Pie makes the deep dish Seattle argues about - a caramelized-crust Chicago pie heavy enough to anchor a table, plus tavern-thin slices and a little digestif bar. You preorder your bake time, which makes it a planned-out casual date: show up, claim a booth, and split a pie that could feed three.</t>
  </si>
  <si>
    <t>5918 Phinney Ave N, Seattle, WA 98103</t>
  </si>
  <si>
    <t>(206) 486-4743</t>
  </si>
  <si>
    <t>Chicago deep-dish pizza</t>
  </si>
  <si>
    <t>Tue-Thu 4-9pm; Fri-Sun 12-10pm</t>
  </si>
  <si>
    <t>Preorder online</t>
  </si>
  <si>
    <t>Casual; Cult; Laid-back</t>
  </si>
  <si>
    <t>Cult Chicago deep dish; preorder bake time, digestif bar</t>
  </si>
  <si>
    <t>Deep-dish pizza</t>
  </si>
  <si>
    <t>Tavern thin-crust</t>
  </si>
  <si>
    <t>https://windycitypie.com/menu/</t>
  </si>
  <si>
    <t>Olive and Grape</t>
  </si>
  <si>
    <t>https://www.theoliveandgrape.com</t>
  </si>
  <si>
    <t>warm;romantic</t>
  </si>
  <si>
    <t>Closed (2026) after 15 years</t>
  </si>
  <si>
    <t>Hecho</t>
  </si>
  <si>
    <t>https://www.hechoseattle.com</t>
  </si>
  <si>
    <t>lively;fun</t>
  </si>
  <si>
    <t>Opus Co.</t>
  </si>
  <si>
    <t>https://www.opuscorestaurant.com</t>
  </si>
  <si>
    <t>tasting-menu;intimate</t>
  </si>
  <si>
    <t>Yelp shows CLOSED (Jun 2026); reservation site still active - verify</t>
  </si>
  <si>
    <t>The Yard Café</t>
  </si>
  <si>
    <t>https://www.theyardcafe.com</t>
  </si>
  <si>
    <t>casual;patio</t>
  </si>
  <si>
    <t>The Yard Cafe does Latin-inflected comfort food with a wall of rotating drafts and scratch margaritas - duck-leg confit, shrimp tacos, a solid burger - in a laid-back Greenwood room with a patio. A fun, unfussy date built around good cocktails and shareable plates rather than ceremony.</t>
  </si>
  <si>
    <t>8313 Greenwood Ave N, Seattle, WA 98103</t>
  </si>
  <si>
    <t>(206) 588-1746</t>
  </si>
  <si>
    <t>Latin comfort food</t>
  </si>
  <si>
    <t>Daily 11am-9pm (Tue-Sat to 10)</t>
  </si>
  <si>
    <t>Casual; Fun; Patio</t>
  </si>
  <si>
    <t>Latin comfort food, rotating drafts, scratch margaritas</t>
  </si>
  <si>
    <t>Duck leg confit</t>
  </si>
  <si>
    <t>Shrimp tacos</t>
  </si>
  <si>
    <t>$15-26</t>
  </si>
  <si>
    <t>https://theyardcafe.com/</t>
  </si>
  <si>
    <t>Naked City Brewery</t>
  </si>
  <si>
    <t>https://www.nakedcitybrewing.com</t>
  </si>
  <si>
    <t>casual;events</t>
  </si>
  <si>
    <t>Brewery</t>
  </si>
  <si>
    <t>Closed (2026) after 10 years</t>
  </si>
  <si>
    <t>Bongos</t>
  </si>
  <si>
    <t>https://www.bongosseattle.com</t>
  </si>
  <si>
    <t>beachy;fun</t>
  </si>
  <si>
    <t>Bongos is a Caribbean playground in a repurposed Aurora gas station near Green Lake - Cuban sandwiches, jerk plates, plantains, and frozen drinks on a sunny patio. Cheap, breezy, and cash-easy, less a date-night destination than a fun, sunshine-y casual bite when you want island flavors without a fuss.</t>
  </si>
  <si>
    <t>6501 Aurora Ave N, Seattle, WA 98103</t>
  </si>
  <si>
    <t>(206) 420-8548</t>
  </si>
  <si>
    <t>Cuban/Caribbean</t>
  </si>
  <si>
    <t>Tue-Sun 11am-9pm</t>
  </si>
  <si>
    <t>Casual; Breezy; Patio</t>
  </si>
  <si>
    <t>1530+</t>
  </si>
  <si>
    <t>Caribbean cafe in a repurposed gas station; Cuban sandwiches</t>
  </si>
  <si>
    <t>Cuban sandwich</t>
  </si>
  <si>
    <t>Jerk plate</t>
  </si>
  <si>
    <t>$12-20</t>
  </si>
  <si>
    <t>http://www.bongosseattle.com/</t>
  </si>
  <si>
    <t>Saltoro</t>
  </si>
  <si>
    <t>https://www.saltororestaurant.com</t>
  </si>
  <si>
    <t>Saltoro is North Greenwood's polished all-rounder - handmade pasta, steak frites, a cult lamb burger, and truffle fries in a warm, grown-up room that's drawn locals for 15 years. The dependable neighborhood date that does a bit of everything well, easy to book and hard to disappoint.</t>
  </si>
  <si>
    <t>14051 Greenwood Ave N, Seattle, WA 98133</t>
  </si>
  <si>
    <t>(206) 365-6025</t>
  </si>
  <si>
    <t>American/Mediterranean/Italian</t>
  </si>
  <si>
    <t>Daily 5-9pm (Fri-Sat to 10)</t>
  </si>
  <si>
    <t>Warm; Neighborhood; Romantic</t>
  </si>
  <si>
    <t>365+</t>
  </si>
  <si>
    <t>Polished all-rounder; pasta, steak frites, lamb burger</t>
  </si>
  <si>
    <t>Lamb burger</t>
  </si>
  <si>
    <t>https://www.saltoroseattle.com/</t>
  </si>
  <si>
    <t>Morsel</t>
  </si>
  <si>
    <t>https://www.morselseattle.com</t>
  </si>
  <si>
    <t>breakfast-date</t>
  </si>
  <si>
    <t>Xi’an Noodles</t>
  </si>
  <si>
    <t>https://www.xiannoodles.com</t>
  </si>
  <si>
    <t>Chinese</t>
  </si>
  <si>
    <t>Xi'an Noodles slings hand-ripped biang biang noodles in a bare-bones U District room - spicy cumin lamb, tingly beef, chili oil everywhere. Cheap, fast, and gloriously messy, not a romance setting but a fun, low-stakes date for two who bond over numbing spice and a pile of noodles.</t>
  </si>
  <si>
    <t>5259 University Way NE, Seattle, WA 98105</t>
  </si>
  <si>
    <t>(206) 522-8888</t>
  </si>
  <si>
    <t>Shaanxi Chinese</t>
  </si>
  <si>
    <t>Casual; Cheap; Spicy</t>
  </si>
  <si>
    <t>1190+</t>
  </si>
  <si>
    <t>Hand-ripped biang biang noodles; cumin lamb, chili oil</t>
  </si>
  <si>
    <t>Spicy cumin lamb noodles</t>
  </si>
  <si>
    <t>Tingly beef noodles</t>
  </si>
  <si>
    <t>$11-16</t>
  </si>
  <si>
    <t>https://xiannoodles.com/</t>
  </si>
  <si>
    <t>Agua Verde Café</t>
  </si>
  <si>
    <t>https://www.aguaverdecafe.com</t>
  </si>
  <si>
    <t>waterfront;fun</t>
  </si>
  <si>
    <t>Agua Verde Cafe sits right on Portage Bay - Baja-style tacos and margaritas with a sunny waterfront deck and kayaks for rent below. A U District favorite since 1998, fun and breezy rather than fancy: grab the deck on a warm evening for a casual, sun-soaked date over fish tacos.</t>
  </si>
  <si>
    <t>1303 NE Boat St, Seattle, WA 98105</t>
  </si>
  <si>
    <t>(206) 545-8570</t>
  </si>
  <si>
    <t>Baja Mexican</t>
  </si>
  <si>
    <t>Waterfront; Fun; Casual</t>
  </si>
  <si>
    <t>1313+</t>
  </si>
  <si>
    <t>Baja tacos on Portage Bay; waterfront deck, kayak rentals</t>
  </si>
  <si>
    <t>Fish tacos</t>
  </si>
  <si>
    <t>Margaritas</t>
  </si>
  <si>
    <t>$14-24</t>
  </si>
  <si>
    <t>https://www.aguaverdecafe.com/</t>
  </si>
  <si>
    <t>Shultzy's</t>
  </si>
  <si>
    <t>https://www.shultzys.com</t>
  </si>
  <si>
    <t>German</t>
  </si>
  <si>
    <t>casual;beer</t>
  </si>
  <si>
    <t>Shultzy's has griddled house-made sausages and poured craft beer on the Ave since 1988 - bratwurst, cheesesteaks, burgers, and a long tap list in a rowdy, collegiate bar. A casual, beer-soaked date for two who want a sausage, a stein, and zero pretense near campus.</t>
  </si>
  <si>
    <t>4114 University Way NE, Seattle, WA 98105</t>
  </si>
  <si>
    <t>(206) 548-9461</t>
  </si>
  <si>
    <t>German sausage/pub</t>
  </si>
  <si>
    <t>Mon-Thu 11am-12am; Fri-Sat to 1am; Sun closed</t>
  </si>
  <si>
    <t>Casual; Collegiate; Beer bar</t>
  </si>
  <si>
    <t>448+</t>
  </si>
  <si>
    <t>House-made sausages + craft beer on the Ave since 1988</t>
  </si>
  <si>
    <t>Bratwurst</t>
  </si>
  <si>
    <t>Cheesesteak</t>
  </si>
  <si>
    <t>https://www.shultzys.com/</t>
  </si>
  <si>
    <t>Korean Tofu House is the U District's go-to for bubbling soondubu - soft-tofu stews that arrive volcanic at the table, with banchan and a hot stone bowl of rice. Cozy, cheap, and deeply comforting, a casual cold-weather date when you want something warming and unfussy near campus.</t>
  </si>
  <si>
    <t>4142 Brooklyn Ave NE, Seattle, WA 98105</t>
  </si>
  <si>
    <t>(206) 632-3119</t>
  </si>
  <si>
    <t>Korean/Soondubu</t>
  </si>
  <si>
    <t>Daily 10am-9pm</t>
  </si>
  <si>
    <t>Cozy; Casual; Comforting</t>
  </si>
  <si>
    <t>912+</t>
  </si>
  <si>
    <t>U District soondubu specialist; soft-tofu stews, banchan</t>
  </si>
  <si>
    <t>Soondubu (soft tofu stew)</t>
  </si>
  <si>
    <t>Bibimbap</t>
  </si>
  <si>
    <t>$13-20</t>
  </si>
  <si>
    <t>https://koreantofuhouse.com/</t>
  </si>
  <si>
    <t>U:Don</t>
  </si>
  <si>
    <t>https://www.udonfresh.com</t>
  </si>
  <si>
    <t>Japanese</t>
  </si>
  <si>
    <t>casual;quick-date</t>
  </si>
  <si>
    <t>U:Don makes fresh, hand-cut udon to order in a cafeteria-style U District shop - chewy noodles in dashi, crisp tempura you grab on the way to the register. Fast, cheap, and satisfying, an everyday casual bite rather than a date destination, but a cozy, slurpable stop on a budget.</t>
  </si>
  <si>
    <t>4515 University Way NE, Seattle, WA 98105</t>
  </si>
  <si>
    <t>(206) 547-7811</t>
  </si>
  <si>
    <t>Japanese udon</t>
  </si>
  <si>
    <t>Daily 11am-8:30pm (Fri-Sat to 9)</t>
  </si>
  <si>
    <t>Counter/cafeteria</t>
  </si>
  <si>
    <t>Casual; Quick; Cheap</t>
  </si>
  <si>
    <t>Fresh hand-cut udon, cafeteria-style; tempura</t>
  </si>
  <si>
    <t>Udon in dashi</t>
  </si>
  <si>
    <t>Tempura</t>
  </si>
  <si>
    <t>$9-15</t>
  </si>
  <si>
    <t>https://www.freshudon.com/menu</t>
  </si>
  <si>
    <t>Taste of Xi'an</t>
  </si>
  <si>
    <t>https://www.tasteofxian.com</t>
  </si>
  <si>
    <t>casual;spicy</t>
  </si>
  <si>
    <t>Taste of Xi'an brings Shaanxi street food to the Ave - hand-pulled noodles, cumin lamb burgers, and bold, rustic Northern Chinese plates. Casual and inexpensive like its neighbors, a fun, spicy, fill-up-for-cheap date for two who'd rather chase flavor than ambience.</t>
  </si>
  <si>
    <t>4523 University Way NE, Seattle, WA 98105</t>
  </si>
  <si>
    <t>(206) 231-9999</t>
  </si>
  <si>
    <t>Daily 11am-9:30pm (Mon-Fri break 3:30-5)</t>
  </si>
  <si>
    <t>568+</t>
  </si>
  <si>
    <t>Shaanxi street food; hand-pulled noodles, cumin lamb burger</t>
  </si>
  <si>
    <t>Hand-pulled noodles</t>
  </si>
  <si>
    <t>Cumin lamb burger</t>
  </si>
  <si>
    <t>$10-16</t>
  </si>
  <si>
    <t>https://everout.com/seattle/locations/taste-of-xian/l14776/</t>
  </si>
  <si>
    <t>Mamma Melina</t>
  </si>
  <si>
    <t>https://www.mammamelina.com</t>
  </si>
  <si>
    <t>Mamma Melina is the U District's warm, white-tablecloth Italian - fresh pasta, wood-fired pizza, and regional wines in a convivial room with a patio. Family-run and a notch dressier than the student spots nearby, an easy, friendly date for handmade pasta and a bottle without trekking downtown.</t>
  </si>
  <si>
    <t>5101 25th Ave NE, Seattle, WA 98105</t>
  </si>
  <si>
    <t>(206) 632-2271</t>
  </si>
  <si>
    <t>Italian/Pizzeria</t>
  </si>
  <si>
    <t>Daily 3-9pm (Fri-Sat to 10)</t>
  </si>
  <si>
    <t>Convivial; Family; Warm</t>
  </si>
  <si>
    <t>914+</t>
  </si>
  <si>
    <t>Warm U District Italian; fresh pasta, wood-fired pizza</t>
  </si>
  <si>
    <t>$20-34</t>
  </si>
  <si>
    <t>https://www.mammamelina.com/menu</t>
  </si>
  <si>
    <t>Din Tai Fung</t>
  </si>
  <si>
    <t>https://www.dintaifungusa.com</t>
  </si>
  <si>
    <t>Taiwanese</t>
  </si>
  <si>
    <t>popular;fun</t>
  </si>
  <si>
    <t>Din Tai Fung is the soup-dumpling juggernaut at University Village - watch the pleating through the glass, then demolish a steamer of kurobuta xiao long bao with chicken dumplings and garlicky greens. Bustling and walk-in only with a wait, a fun, animated date over endless dumplings rather than a quiet one.</t>
  </si>
  <si>
    <t>2621 NE 46th St, Seattle, WA 98105</t>
  </si>
  <si>
    <t>(206) 525-0958</t>
  </si>
  <si>
    <t>Taiwanese/Dumplings</t>
  </si>
  <si>
    <t>Daily 11am-9pm (Fri-Sat to 9:30)</t>
  </si>
  <si>
    <t>Walk-in (waitlist)</t>
  </si>
  <si>
    <t>Bustling; Fun; Popular</t>
  </si>
  <si>
    <t>Soup-dumpling juggernaut; kurobuta xiao long bao</t>
  </si>
  <si>
    <t>Kurobuta xiao long bao</t>
  </si>
  <si>
    <t>Chicken dumplings</t>
  </si>
  <si>
    <t>$15-28</t>
  </si>
  <si>
    <t>https://dtf.com/en-us/locations/seattle-university-village</t>
  </si>
  <si>
    <t>Sushi Kappo Tamura</t>
  </si>
  <si>
    <t>https://www.sushikappotamura.com</t>
  </si>
  <si>
    <t>sustainable;romantic</t>
  </si>
  <si>
    <t>Sushi Kappo Tamura is chef Taichi Kitamura's kappo-style temple to Northwest fish - omakase and seasonal small plates served fast from an open kitchen in a lively room. Serious sushi without the hush, refined but warm, a date for two who want top-tier fish and a bit of kitchen theater.</t>
  </si>
  <si>
    <t>2968 Eastlake Ave E, Seattle, WA 98102</t>
  </si>
  <si>
    <t>(206) 547-0937</t>
  </si>
  <si>
    <t>Kappo/Sushi/Omakase</t>
  </si>
  <si>
    <t>Tue-Thu 5-9:30pm; Fri-Sat 5-10pm</t>
  </si>
  <si>
    <t>Refined; Lively; Open-kitchen</t>
  </si>
  <si>
    <t>613+</t>
  </si>
  <si>
    <t>Kappo-style PNW sushi; omakase, open kitchen</t>
  </si>
  <si>
    <t>Seasonal sashimi</t>
  </si>
  <si>
    <t>$60-120</t>
  </si>
  <si>
    <t>https://www.sushikappotamura.com/</t>
  </si>
  <si>
    <t>Canlis</t>
  </si>
  <si>
    <t>https://canlis.com/</t>
  </si>
  <si>
    <t>iconic;special-occasion;view</t>
  </si>
  <si>
    <t>Canlis is the standard every other Seattle special-occasion dinner is measured against - a 1950 mid-century landmark perched over Lake Union, with a four-course menu, flawless service, and the kind of view proposals are built around. A splurge and a ritual; book weeks out and treat it as the main event.</t>
  </si>
  <si>
    <t>2576 Aurora Ave N, Seattle, WA 98109</t>
  </si>
  <si>
    <t>(206) 283-3313</t>
  </si>
  <si>
    <t>Fine dining/PNW</t>
  </si>
  <si>
    <t>Tue-Thu 5-10pm; Fri-Sat 5-11pm</t>
  </si>
  <si>
    <t>Iconic; Grand; Romantic; View</t>
  </si>
  <si>
    <t>1920+</t>
  </si>
  <si>
    <t>Seattle's benchmark fine dining since 1950; Lake Union views</t>
  </si>
  <si>
    <t>Four-course tasting</t>
  </si>
  <si>
    <t>Canlis salad</t>
  </si>
  <si>
    <t>$185 prix fixe</t>
  </si>
  <si>
    <t>https://canlis.com/menu</t>
  </si>
  <si>
    <t>Sushi Kashiba</t>
  </si>
  <si>
    <t>https://sushikashiba.com/</t>
  </si>
  <si>
    <t>omakase;iconic;chef-driven</t>
  </si>
  <si>
    <t>Sushi Kashiba is Shiro Kashiba's masterwork - the Jiro-trained legend behind the counter, turning out 20-plus-course omakase of pristine, market-driven fish near Pike Place. Sit at the bar and put yourself in his hands. The city's benchmark sushi date: precise, unhurried, and worth the wait for a counter seat.</t>
  </si>
  <si>
    <t>86 Pine St Ste 1, Seattle, WA 98101</t>
  </si>
  <si>
    <t>(206) 441-8844</t>
  </si>
  <si>
    <t>Edomae omakase</t>
  </si>
  <si>
    <t>Mon/Wed/Thu/Sun 5-9pm; Fri-Sat 5-9:30pm</t>
  </si>
  <si>
    <t>OpenTable (+ walk-in counter)</t>
  </si>
  <si>
    <t>Iconic; Refined; Counter; Romantic</t>
  </si>
  <si>
    <t>1589+</t>
  </si>
  <si>
    <t>Shiro Kashiba's omakase flagship; Jiro-trained master</t>
  </si>
  <si>
    <t>Chef's omakase</t>
  </si>
  <si>
    <t>Seasonal nigiri</t>
  </si>
  <si>
    <t>$90-160 omakase</t>
  </si>
  <si>
    <t>Lark</t>
  </si>
  <si>
    <t>https://www.larkseattle.com/</t>
  </si>
  <si>
    <t>fine-dining;seasonal;romantic</t>
  </si>
  <si>
    <t>Lark is John Sundstrom's quietly elegant Capitol Hill room - a four-course, market-driven New American menu of foraged mushrooms, wild salmon, and seasonal small plates in a warm, airy space. Refined without being fussy, a grown-up date for two who want serious cooking and an unhurried evening. The bar takes walk-ins.</t>
  </si>
  <si>
    <t>952 E Seneca St, Seattle, WA 98122</t>
  </si>
  <si>
    <t>(206) 323-5275</t>
  </si>
  <si>
    <t>New American/PNW</t>
  </si>
  <si>
    <t>Mon-Sat 5-9pm</t>
  </si>
  <si>
    <t>Refined; Intimate; Romantic</t>
  </si>
  <si>
    <t>338+</t>
  </si>
  <si>
    <t>John Sundstrom's seasonal New American fine-dining</t>
  </si>
  <si>
    <t>Four-course seasonal menu</t>
  </si>
  <si>
    <t>Wild king salmon</t>
  </si>
  <si>
    <t>$70-90 (4-course)</t>
  </si>
  <si>
    <t>Flatstick Pub</t>
  </si>
  <si>
    <t>South Lake Union</t>
  </si>
  <si>
    <t>https://flatstickpub.com/south-lake-union/</t>
  </si>
  <si>
    <t>Pub/Pizza</t>
  </si>
  <si>
    <t>activity;mini-golf;beer</t>
  </si>
  <si>
    <t>Flatstick Pub turns a date into a game - indoor mini-golf and the invented-here Duffleboard alongside Washington-only craft beer and brick-oven pizza. Loud, cheap, and genuinely fun, the antidote to a sit-and-stare dinner. The South Lake Union and Pioneer Square spots both work for a playful, low-pressure night.</t>
  </si>
  <si>
    <t>609 Westlake Ave N, Seattle, WA 98109</t>
  </si>
  <si>
    <t>(206) 397-3625</t>
  </si>
  <si>
    <t>Mini-golf + craft beer</t>
  </si>
  <si>
    <t>Mon-Thu 11am-11pm; Fri-Sat to 1am; Sun 11-11</t>
  </si>
  <si>
    <t>Activity; Fun; Casual</t>
  </si>
  <si>
    <t>223+</t>
  </si>
  <si>
    <t>Indoor mini-golf + Duffleboard, WA craft beer, brick-oven pizza</t>
  </si>
  <si>
    <t>Brick-oven pizza</t>
  </si>
  <si>
    <t>Bavarian pretzel</t>
  </si>
  <si>
    <t>$10-18</t>
  </si>
  <si>
    <t>The Garage</t>
  </si>
  <si>
    <t>https://www.bowlero.com/location/garage</t>
  </si>
  <si>
    <t>activity;bowling;billiards;21+</t>
  </si>
  <si>
    <t>The Garage is Capitol Hill's grown-up arcade - 20 bowling lanes, 25 pool tables, weekend karaoke, and a fire-pit patio, with above-average pub food (truffle chips, poutine). A 21-plus, no-pressure date for two who'd rather bowl a frame and split a pitcher than make reservations. Walk in and grab a lane.</t>
  </si>
  <si>
    <t>1130 Broadway, Seattle, WA 98122</t>
  </si>
  <si>
    <t>(206) 322-2296</t>
  </si>
  <si>
    <t>Bowling/billiards pub</t>
  </si>
  <si>
    <t>Mon-Tue 3-11pm; Wed-Thu 3-12am; Fri-Sat 1pm-1am; Sun 1-11</t>
  </si>
  <si>
    <t>Activity; Fun; Playful</t>
  </si>
  <si>
    <t>837+</t>
  </si>
  <si>
    <t>20 bowling lanes + 25 pool tables, karaoke, pub food</t>
  </si>
  <si>
    <t>Truffle potato chips</t>
  </si>
  <si>
    <t>Poutine</t>
  </si>
  <si>
    <t>https://www.bowlero.com/location/garage/menu</t>
  </si>
  <si>
    <t>Meet Korean BBQ</t>
  </si>
  <si>
    <t>https://meetkoreanbbq.com/</t>
  </si>
  <si>
    <t>activity;grill-at-table;kbbq</t>
  </si>
  <si>
    <t>Meet Korean BBQ makes you part of the cooking - premium cuts (Prime Angus, A5 Wagyu, Kurobuta) seared over a tabletop grill, with banchan and a lively Capitol Hill room. The hands-on grilling is the date: interactive, a little smoky, and built for two who'd rather do dinner than just order it.</t>
  </si>
  <si>
    <t>500 E Pike St, Seattle, WA 98122</t>
  </si>
  <si>
    <t>(206) 695-2621</t>
  </si>
  <si>
    <t>Korean BBQ (tabletop grill)</t>
  </si>
  <si>
    <t>Wed-Sun 5-9:45pm</t>
  </si>
  <si>
    <t>Interactive; Lively; Hands-on</t>
  </si>
  <si>
    <t>431+</t>
  </si>
  <si>
    <t>Tabletop-grill KBBQ; Prime/Wagyu/Kurobuta, banchan</t>
  </si>
  <si>
    <t>Galbi (short rib)</t>
  </si>
  <si>
    <t>Bulgogi</t>
  </si>
  <si>
    <t>https://meetkoreanbbq.com/seattle-capitol-hill-meet-korean-bbq-food-menu</t>
  </si>
  <si>
    <t>The Loupe Lounge</t>
  </si>
  <si>
    <t>https://www.spaceneedle.com/lounge</t>
  </si>
  <si>
    <t>activity;view;revolving;21+;seasonal</t>
  </si>
  <si>
    <t>The Loupe Lounge floats 500 feet up inside the Space Needle, on the world's only revolving glass floor - a 21-plus experience of cocktail mixology and multi-course culinary towers as the city turns beneath your feet. Spectacle over cuisine, but as a one-of-a-kind date it's unmatched. Seasonal: reopens around September.</t>
  </si>
  <si>
    <t>400 Broad St, Seattle, WA 98109</t>
  </si>
  <si>
    <t>(206) 905-2100</t>
  </si>
  <si>
    <t>Cocktails + culinary towers</t>
  </si>
  <si>
    <t>SEASONAL - reopens ~Sept 2026; evenings, 21+</t>
  </si>
  <si>
    <t>Experience; View; Iconic</t>
  </si>
  <si>
    <t>86+</t>
  </si>
  <si>
    <t>Space Needle revolving glass floor; cocktails + culinary towers (seasonal)</t>
  </si>
  <si>
    <t>Culinary tower</t>
  </si>
  <si>
    <t>Craft cocktails</t>
  </si>
  <si>
    <t>$120+ prepaid experience</t>
  </si>
  <si>
    <t>AQUA by El Gaucho</t>
  </si>
  <si>
    <t>https://aquabyelgaucho.com/</t>
  </si>
  <si>
    <t>waterfront;view;romantic;special-occasion</t>
  </si>
  <si>
    <t>AQUA by El Gaucho sits at the tip of Pier 70 with walls of glass over Elliott Bay - polished seafood and steak, an 85-foot lighted bar, and a deck made for summer sunsets. The waterfront splurge: book a window at golden hour and let the Olympics and the ferries do half the work.</t>
  </si>
  <si>
    <t>2801 Alaskan Way Pier 70, Seattle, WA 98121</t>
  </si>
  <si>
    <t>(206) 956-9171</t>
  </si>
  <si>
    <t>Seafood/steak; waterfront</t>
  </si>
  <si>
    <t>Dinner nightly from 4pm</t>
  </si>
  <si>
    <t>Waterfront; View; Romantic; Special-occasion</t>
  </si>
  <si>
    <t>Pier 70 waterfront; polished seafood &amp; steak, sunset deck</t>
  </si>
  <si>
    <t>Filet &amp; lobster</t>
  </si>
  <si>
    <t>$45-80</t>
  </si>
  <si>
    <t>https://aquabyelgaucho.com/menus/</t>
  </si>
  <si>
    <t>Aerlume</t>
  </si>
  <si>
    <t>https://aerlumeseattle.com/</t>
  </si>
  <si>
    <t>waterfront;view;fire-table;romantic</t>
  </si>
  <si>
    <t>Aerlume opens onto a sweeping Puget Sound view from above the waterfront, warmed by a dramatic indoor fire table - a handsome New American room of live-fire cooking and big windows. A quietly impressive date just off Pike Place, less famous than the pier spots but easier to book and just as romantic at sunset.</t>
  </si>
  <si>
    <t>2003 Western Ave Ste C, Seattle, WA 98121</t>
  </si>
  <si>
    <t>(206) 539-2200</t>
  </si>
  <si>
    <t>New American; Puget Sound views</t>
  </si>
  <si>
    <t>Tue-Sat 4-9pm</t>
  </si>
  <si>
    <t>View; Romantic; Fire-table</t>
  </si>
  <si>
    <t>417+</t>
  </si>
  <si>
    <t>Puget Sound views + indoor fire table; live-fire New American</t>
  </si>
  <si>
    <t>Live-fire entrees</t>
  </si>
  <si>
    <t>Shareable plates</t>
  </si>
  <si>
    <t>https://aerlumeseattle.com/dinner-menu/</t>
  </si>
  <si>
    <t>Bangrak Market</t>
  </si>
  <si>
    <t>https://www.bangrakmarketseattle.com/</t>
  </si>
  <si>
    <t>thai;lively;late-night</t>
  </si>
  <si>
    <t>Bangrak Market recreates a Bangkok night market in Belltown - khao soi, crying tiger, som tum, and crab wontons under string lights, with a serious cocktail and bar program. Loud, fun, and open late, a high-energy Thai date for two who want bold spice and a buzzy room rather than quiet.</t>
  </si>
  <si>
    <t>2319 2nd Ave, Seattle, WA 98121</t>
  </si>
  <si>
    <t>(206) 743-9627</t>
  </si>
  <si>
    <t>Thai street food + bar</t>
  </si>
  <si>
    <t>Mon-Thu to 12am; Fri-Sat to 2am; Sun to 11</t>
  </si>
  <si>
    <t>Lively; Fun; Late-night</t>
  </si>
  <si>
    <t>Bangkok night-market Thai + cocktail bar</t>
  </si>
  <si>
    <t>Khao soi</t>
  </si>
  <si>
    <t>Crying tiger</t>
  </si>
  <si>
    <t>Monsoon</t>
  </si>
  <si>
    <t>https://www.monsoonrestaurants.com/seattle</t>
  </si>
  <si>
    <t>Vietnamese</t>
  </si>
  <si>
    <t>vietnamese;upscale;romantic</t>
  </si>
  <si>
    <t>Monsoon has served contemporary Vietnamese on Capitol Hill for 25 years - drunken chicken, beef wrapped in la lot leaves, claypot catfish, and a famous coconut creme caramel, plus weekend dim sum. Polished but warm, the date that elevates Vietnamese beyond pho into something worth dressing up a little for.</t>
  </si>
  <si>
    <t>615 19th Ave E, Seattle, WA 98112</t>
  </si>
  <si>
    <t>(206) 325-2111</t>
  </si>
  <si>
    <t>Contemporary Vietnamese</t>
  </si>
  <si>
    <t>Mon-Thu 11:30am-9:30pm; Fri-Sat to 10; Sun to 9:30</t>
  </si>
  <si>
    <t>Toast</t>
  </si>
  <si>
    <t>Refined; Warm; Date-friendly</t>
  </si>
  <si>
    <t>865+</t>
  </si>
  <si>
    <t>Contemporary Vietnamese for 25 years; drunken chicken, la lot beef</t>
  </si>
  <si>
    <t>Beef la lot</t>
  </si>
  <si>
    <t>Drunken chicken</t>
  </si>
  <si>
    <t>Tamarind Tree</t>
  </si>
  <si>
    <t>International District</t>
  </si>
  <si>
    <t>https://tamarindtreerestaurant.com/</t>
  </si>
  <si>
    <t>vietnamese;hidden-gem;courtyard</t>
  </si>
  <si>
    <t>Tamarind Tree is the International District's not-so-secret gem - provincial Vietnamese cooking on a hidden courtyard off Jackson Street, from seven-courses-of-beef to fresh spring rolls. Tucked away and lantern-lit, a surprisingly romantic date for two willing to look past the strip-mall entrance.</t>
  </si>
  <si>
    <t>1036 S Jackson St, Seattle, WA 98104</t>
  </si>
  <si>
    <t>(206) 860-1404</t>
  </si>
  <si>
    <t>Provincial Vietnamese</t>
  </si>
  <si>
    <t>Hidden-gem; Lantern-lit; Romantic</t>
  </si>
  <si>
    <t>1680+</t>
  </si>
  <si>
    <t>Hidden-courtyard provincial Vietnamese in the ID</t>
  </si>
  <si>
    <t>Seven courses of beef</t>
  </si>
  <si>
    <t>Fresh spring rolls</t>
  </si>
  <si>
    <t>https://tamarindtreerestaurant.com/menu/</t>
  </si>
  <si>
    <t>Jade Garden</t>
  </si>
  <si>
    <t>https://www.jadegardenseattle.com/</t>
  </si>
  <si>
    <t>dim-sum;chinese;bustling</t>
  </si>
  <si>
    <t>Jade Garden is Seattle's benchmark dim sum hall - carts and round tables piled with har gow, BBQ pork buns, and honey-walnut prawns in a perpetually packed Chinatown room. Bustling and cheap, not a quiet date but a fun, point-and-share one, especially good with a hungry pair on a weekend.</t>
  </si>
  <si>
    <t>424 7th Ave S, Seattle, WA 98104</t>
  </si>
  <si>
    <t>(206) 622-8181</t>
  </si>
  <si>
    <t>Cantonese/Dim sum</t>
  </si>
  <si>
    <t>Daily 9am-late</t>
  </si>
  <si>
    <t>Bustling; Casual; Classic</t>
  </si>
  <si>
    <t>1962+</t>
  </si>
  <si>
    <t>Seattle's benchmark dim sum hall; har gow, BBQ pork buns</t>
  </si>
  <si>
    <t>Har gow</t>
  </si>
  <si>
    <t>Honey-walnut prawns</t>
  </si>
  <si>
    <t>Maximilien</t>
  </si>
  <si>
    <t>https://www.maximilienrestaurant.com/</t>
  </si>
  <si>
    <t>french;waterfront-view;romantic;classic</t>
  </si>
  <si>
    <t>Maximilien is a tucked-away French room inside Pike Place with a wall of windows over Elliott Bay - moules, steak frites, and classic bistro fare served with old-world polish since 1977. Intimate and a little hidden, a romantic date where the sunset over the Sound is part of the menu.</t>
  </si>
  <si>
    <t>81A Pike St, Seattle, WA 98101</t>
  </si>
  <si>
    <t>(206) 682-7270</t>
  </si>
  <si>
    <t>Mon-Thu 4-9pm; Fri-Sun 11:30am-9pm</t>
  </si>
  <si>
    <t>Romantic; Classic; Water-view</t>
  </si>
  <si>
    <t>931+</t>
  </si>
  <si>
    <t>Hidden French bistro in Pike Place with Elliott Bay views, since 1977</t>
  </si>
  <si>
    <t>Moules frites</t>
  </si>
  <si>
    <t>https://www.maximilienrestaurant.com/menu</t>
  </si>
  <si>
    <t>Six Seven</t>
  </si>
  <si>
    <t>https://www.edgewaterhotel.com/dine/six-seven-restaurant/</t>
  </si>
  <si>
    <t>Six Seven juts out over Elliott Bay from the Edgewater Hotel's Pier 67 - floor-to-ceiling water views, Northwest seafood, and the most over-the-water dining room in the city. It leans special-occasion, the waterfront date where seals sometimes surface beside the windows and the sunset does the heavy lifting.</t>
  </si>
  <si>
    <t>2411 Alaskan Way Pier 67, Seattle, WA 98121</t>
  </si>
  <si>
    <t>(206) 269-4575</t>
  </si>
  <si>
    <t>PNW seafood; waterfront</t>
  </si>
  <si>
    <t>1439+</t>
  </si>
  <si>
    <t>Over-the-water dining at the Edgewater; Elliott Bay views</t>
  </si>
  <si>
    <t>Northwest seafood</t>
  </si>
  <si>
    <t>Seasonal fish</t>
  </si>
  <si>
    <t>$40-70</t>
  </si>
  <si>
    <t>Il Terrazzo Carmine</t>
  </si>
  <si>
    <t>Pioneer Square</t>
  </si>
  <si>
    <t>https://ilterrazzocarmine.com/</t>
  </si>
  <si>
    <t>italian;classic;special-occasion;romantic</t>
  </si>
  <si>
    <t>Il Terrazzo Carmine has been Pioneer Square's grand Italian institution since 1984 - white tablecloths, veal and house pasta and zuppa di pesce, served with the kind of tableside warmth that's vanishing elsewhere. A dressed-up, old-school romantic date, the place Seattle families have marked anniversaries for forty years.</t>
  </si>
  <si>
    <t>411 1st Ave S, Seattle, WA 98104</t>
  </si>
  <si>
    <t>(206) 467-7797</t>
  </si>
  <si>
    <t>Classic Italian</t>
  </si>
  <si>
    <t>Mon-Sat 5-10pm; Sun closed</t>
  </si>
  <si>
    <t>Romantic; Classic; Special-occasion</t>
  </si>
  <si>
    <t>744+</t>
  </si>
  <si>
    <t>Grand Pioneer Square Italian institution since 1984</t>
  </si>
  <si>
    <t>Veal (Suprema di pollo)</t>
  </si>
  <si>
    <t>Zuppa di pesce</t>
  </si>
  <si>
    <t>$35-55</t>
  </si>
  <si>
    <t>The Corson Building</t>
  </si>
  <si>
    <t>Georgetown</t>
  </si>
  <si>
    <t>https://www.thecorsonbuilding.com/</t>
  </si>
  <si>
    <t>garden;set-menu;special-occasion;romantic</t>
  </si>
  <si>
    <t>The Corson Building is one of Seattle's most magical dinners - a 1910 Italianate cottage and lush garden in industrial Georgetown, where chef Emily Crawford Dann serves seasonal set menus in a covered, heated garden. Intimate, a little theatrical, and utterly romantic; a destination date worth the trek south.</t>
  </si>
  <si>
    <t>5609 Corson Ave S, Seattle, WA 98108</t>
  </si>
  <si>
    <t>(206) 762-3330</t>
  </si>
  <si>
    <t>Seasonal New American</t>
  </si>
  <si>
    <t>Thu-Fri 6-9:30pm; Sat-Sun by reservation</t>
  </si>
  <si>
    <t>Garden; Magical; Romantic; Special-occasion</t>
  </si>
  <si>
    <t>224+</t>
  </si>
  <si>
    <t>Seasonal set menus in a 1910 cottage garden in Georgetown</t>
  </si>
  <si>
    <t>Seasonal set menu</t>
  </si>
  <si>
    <t>Garden-driven courses</t>
  </si>
  <si>
    <t>$95+ set menu</t>
  </si>
  <si>
    <t>Kamonegi</t>
  </si>
  <si>
    <t>https://www.kamonegiseattle.com/</t>
  </si>
  <si>
    <t>soba;tempura;intimate;acclaimed</t>
  </si>
  <si>
    <t>Kamonegi is Mutsuko Soma's tiny Fremont soba house - handmade buckwheat noodles and seasonal tempura that earned her national acclaim. The room seats barely two dozen, intimate and a little hushed, and the duck-and-negi seiro is the order. A quietly special date for two who'd rather slurp world-class soba than make a scene.</t>
  </si>
  <si>
    <t>1054 N 39th St, Seattle, WA 98103</t>
  </si>
  <si>
    <t>(206) 632-0185</t>
  </si>
  <si>
    <t>Handmade soba/tempura</t>
  </si>
  <si>
    <t>Tue-Sat 4-9:30pm</t>
  </si>
  <si>
    <t>Intimate; Refined; Tiny</t>
  </si>
  <si>
    <t>573+</t>
  </si>
  <si>
    <t>Acclaimed handmade soba + tempura; James Beard chef Mutsuko Soma</t>
  </si>
  <si>
    <t>Duck &amp; negi seiro soba</t>
  </si>
  <si>
    <t>Seasonal tempura</t>
  </si>
  <si>
    <t>$22-34</t>
  </si>
  <si>
    <t>Mox Boarding House</t>
  </si>
  <si>
    <t>https://www.moxboardinghouse.com/pages/seattle</t>
  </si>
  <si>
    <t>activity;board-games;fun</t>
  </si>
  <si>
    <t>Mox Boarding House is a board-game cafe, restaurant, and game shop under one Ballard roof - pull any title off the wall of 2,000+ games to play free while you eat genuinely good pub food and cocktails. The ultimate low-pressure, high-fun date: order a burger, learn a new game, and stay till close.</t>
  </si>
  <si>
    <t>5105 Leary Ave NW, Seattle, WA 98107</t>
  </si>
  <si>
    <t>(206) 523-9605</t>
  </si>
  <si>
    <t>Pub/American (board-game cafe)</t>
  </si>
  <si>
    <t>Mon-Thu 11am-10pm; Fri-Sat to 12am; Sun to 10</t>
  </si>
  <si>
    <t>Walk-in/Resy</t>
  </si>
  <si>
    <t>Board-game cafe + restaurant; 2,000+ games free to play</t>
  </si>
  <si>
    <t>Shareable pub plates</t>
  </si>
  <si>
    <t>https://www.moxboardinghouse.com/pages/seattle-menu</t>
  </si>
  <si>
    <t>Art of the Table</t>
  </si>
  <si>
    <t>https://www.artofthetable.net/</t>
  </si>
  <si>
    <t>tasting-menu;chef-driven;special-occasion</t>
  </si>
  <si>
    <t>Art of the Table is Shota Nakajima's ambitious Wallingford tasting-menu room - hyper-seasonal, Japanese-inflected New American cooking from a nationally known chef, in a window-wrapped space with a chef's counter. A refined, splurge-worthy date.</t>
  </si>
  <si>
    <t>3801 Stone Way N, Seattle, WA 98103</t>
  </si>
  <si>
    <t>(206) 282-0942</t>
  </si>
  <si>
    <t>New American tasting</t>
  </si>
  <si>
    <t>Tue-Sat 5-9pm</t>
  </si>
  <si>
    <t>Refined; Chef-driven; Special-occasion</t>
  </si>
  <si>
    <t>763+</t>
  </si>
  <si>
    <t>Yelp shows CLOSED (Jun 2026) but trade press cites new Stone Way space - VERIFY before include</t>
  </si>
  <si>
    <t>Seasonal a la carte</t>
  </si>
  <si>
    <t>$90+ tasting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</si>
</sst>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charset val="1"/>
    </font>
    <font>
      <b/>
      <sz val="14"/>
      <color rgb="FF1F3A5F"/>
      <name val="Arial"/>
      <charset val="1"/>
    </font>
    <font>
      <i/>
      <sz val="9"/>
      <color rgb="FF666666"/>
      <name val="Arial"/>
      <charset val="1"/>
    </font>
    <font>
      <b/>
      <sz val="11"/>
      <color rgb="FFFFFFFF"/>
      <name val="Arial"/>
      <charset val="1"/>
    </font>
    <font>
      <sz val="10"/>
      <name val="Arial"/>
      <charset val="1"/>
    </font>
    <font>
      <b/>
      <sz val="10"/>
      <name val="Arial"/>
      <charset val="1"/>
    </font>
    <font>
      <b/>
      <sz val="10"/>
      <color rgb="FF1F3A5F"/>
      <name val="Arial"/>
      <charset val="1"/>
    </font>
    <font>
      <b/>
      <sz val="10"/>
      <color rgb="FF375623"/>
      <name val="Arial"/>
      <charset val="1"/>
    </font>
    <font>
      <sz val="10"/>
      <name val="Arial"/>
    </font>
  </fonts>
  <fills count="9">
    <fill>
      <patternFill patternType="none"/>
    </fill>
    <fill>
      <patternFill patternType="gray125"/>
    </fill>
    <fill>
      <patternFill patternType="solid">
        <fgColor rgb="FF1F3A5F"/>
        <bgColor rgb="FF333399"/>
      </patternFill>
    </fill>
    <fill>
      <patternFill patternType="solid">
        <fgColor rgb="FFC9A227"/>
        <bgColor rgb="FF99CC00"/>
      </patternFill>
    </fill>
    <fill>
      <patternFill patternType="solid">
        <fgColor rgb="FFDCE6F1"/>
        <bgColor rgb="FFE2EFDA"/>
      </patternFill>
    </fill>
    <fill>
      <patternFill patternType="solid">
        <fgColor rgb="FFE2EFDA"/>
        <bgColor rgb="FFDCE6F1"/>
      </patternFill>
    </fill>
    <fill>
      <patternFill patternType="solid">
        <fgColor rgb="FFF4CCCC"/>
        <bgColor rgb="FFFCE4B8"/>
      </patternFill>
    </fill>
    <fill>
      <patternFill patternType="solid">
        <fgColor rgb="FFDCE6F1"/>
      </patternFill>
    </fill>
    <fill>
      <patternFill patternType="solid">
        <fgColor rgb="FFE2EFDA"/>
      </patternFill>
    </fill>
  </fills>
  <borders count="5">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9">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xf>
    <xf numFmtId="0" fontId="4" fillId="0" borderId="1" xfId="0" applyFont="1" applyBorder="1"/>
    <xf numFmtId="0" fontId="4" fillId="0" borderId="1" xfId="0" applyFont="1" applyBorder="1" applyAlignment="1">
      <alignment horizontal="center" vertical="center"/>
    </xf>
    <xf numFmtId="0" fontId="3" fillId="3" borderId="1" xfId="0" applyFont="1" applyFill="1" applyBorder="1"/>
    <xf numFmtId="0" fontId="3" fillId="3" borderId="1" xfId="0" applyFont="1" applyFill="1" applyBorder="1" applyAlignment="1">
      <alignment horizontal="center" vertical="center"/>
    </xf>
    <xf numFmtId="0" fontId="5" fillId="0" borderId="0" xfId="0" applyFont="1"/>
    <xf numFmtId="0" fontId="3" fillId="2" borderId="1" xfId="0" applyFont="1" applyFill="1" applyBorder="1" applyAlignment="1">
      <alignment horizontal="center" vertical="center" wrapText="1"/>
    </xf>
    <xf numFmtId="0" fontId="4" fillId="4" borderId="1" xfId="0" applyFont="1" applyFill="1" applyBorder="1" applyAlignment="1">
      <alignment vertical="top" wrapText="1"/>
    </xf>
    <xf numFmtId="0" fontId="4" fillId="5" borderId="1" xfId="0" applyFont="1" applyFill="1" applyBorder="1" applyAlignment="1">
      <alignment vertical="top" wrapText="1"/>
    </xf>
    <xf numFmtId="0" fontId="4" fillId="6" borderId="1" xfId="0" applyFont="1" applyFill="1" applyBorder="1" applyAlignment="1">
      <alignment vertical="top" wrapText="1"/>
    </xf>
    <xf numFmtId="0" fontId="8" fillId="7" borderId="4" xfId="0" applyFont="1" applyFill="1" applyBorder="1" applyAlignment="1">
      <alignment vertical="top" wrapText="1"/>
    </xf>
    <xf numFmtId="0" fontId="8" fillId="8" borderId="4" xfId="0" applyFont="1" applyFill="1" applyBorder="1" applyAlignment="1">
      <alignment vertical="top" wrapText="1"/>
    </xf>
    <xf numFmtId="0" fontId="6" fillId="4" borderId="1" xfId="0" applyFont="1" applyFill="1" applyBorder="1" applyAlignment="1">
      <alignment horizontal="center" vertical="center" wrapText="1"/>
    </xf>
    <xf numFmtId="0" fontId="0" fillId="0" borderId="2" xfId="0" applyBorder="1"/>
    <xf numFmtId="0" fontId="0" fillId="0" borderId="3" xfId="0" applyBorder="1"/>
    <xf numFmtId="0" fontId="7" fillId="5"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CE4B8"/>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4CCCC"/>
      <rgbColor rgb="FF3366FF"/>
      <rgbColor rgb="FF33CCCC"/>
      <rgbColor rgb="FF99CC00"/>
      <rgbColor rgb="FFFFCC00"/>
      <rgbColor rgb="FFC9A227"/>
      <rgbColor rgb="FFFF6600"/>
      <rgbColor rgb="FF666666"/>
      <rgbColor rgb="FF969696"/>
      <rgbColor rgb="FF1F3A5F"/>
      <rgbColor rgb="FF339966"/>
      <rgbColor rgb="FF003300"/>
      <rgbColor rgb="FF333300"/>
      <rgbColor rgb="FF993300"/>
      <rgbColor rgb="FF993366"/>
      <rgbColor rgb="FF333399"/>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4"/>
  <sheetViews>
    <sheetView zoomScaleNormal="100" workbookViewId="0"/>
  </sheetViews>
  <sheetFormatPr defaultColWidth="8.6640625" defaultRowHeight="14.25" x14ac:dyDescent="0.45"/>
  <cols>
    <col min="1" max="1" width="22" customWidth="1"/>
    <col min="2" max="4" width="12" customWidth="1"/>
    <col min="5" max="5" width="10" customWidth="1"/>
  </cols>
  <sheetData>
    <row r="1" spans="1:5" ht="17.25" customHeight="1" x14ac:dyDescent="0.5">
      <c r="A1" s="1" t="s">
        <v>0</v>
      </c>
    </row>
    <row r="2" spans="1:5" ht="15" customHeight="1" x14ac:dyDescent="0.45">
      <c r="A2" s="2" t="s">
        <v>1</v>
      </c>
    </row>
    <row r="4" spans="1:5" ht="15" customHeight="1" x14ac:dyDescent="0.45">
      <c r="A4" s="3" t="s">
        <v>2</v>
      </c>
      <c r="B4" s="3" t="s">
        <v>3</v>
      </c>
    </row>
    <row r="5" spans="1:5" ht="15" customHeight="1" x14ac:dyDescent="0.45">
      <c r="A5" s="4" t="s">
        <v>4</v>
      </c>
      <c r="B5" s="5">
        <f>COUNTIF(Restaurants!$AK$3:$AK$98,"Enriched")</f>
        <v>71</v>
      </c>
    </row>
    <row r="6" spans="1:5" ht="15" customHeight="1" x14ac:dyDescent="0.45">
      <c r="A6" s="4" t="s">
        <v>5</v>
      </c>
      <c r="B6" s="5">
        <f>COUNTIF(Restaurants!$AK$3:$AK$98,"CLOSED - drop")</f>
        <v>17</v>
      </c>
    </row>
    <row r="7" spans="1:5" ht="15" customHeight="1" x14ac:dyDescent="0.45">
      <c r="A7" s="4" t="s">
        <v>6</v>
      </c>
      <c r="B7" s="5">
        <f>COUNTIF(Restaurants!$AK$3:$AK$98,"Review")</f>
        <v>8</v>
      </c>
    </row>
    <row r="8" spans="1:5" ht="15" customHeight="1" x14ac:dyDescent="0.45">
      <c r="A8" s="6" t="s">
        <v>7</v>
      </c>
      <c r="B8" s="7">
        <f>COUNTA(Restaurants!$C$3:$C$98)</f>
        <v>96</v>
      </c>
    </row>
    <row r="10" spans="1:5" ht="15" customHeight="1" x14ac:dyDescent="0.45">
      <c r="A10" s="8" t="s">
        <v>8</v>
      </c>
      <c r="D10" s="8" t="s">
        <v>9</v>
      </c>
    </row>
    <row r="11" spans="1:5" ht="15" customHeight="1" x14ac:dyDescent="0.45">
      <c r="A11" s="3" t="s">
        <v>10</v>
      </c>
      <c r="B11" s="3" t="s">
        <v>11</v>
      </c>
      <c r="D11" s="3" t="s">
        <v>12</v>
      </c>
      <c r="E11" s="3" t="s">
        <v>11</v>
      </c>
    </row>
    <row r="12" spans="1:5" ht="15" customHeight="1" x14ac:dyDescent="0.45">
      <c r="A12" s="4" t="s">
        <v>13</v>
      </c>
      <c r="B12" s="5">
        <f>COUNTIFS(Restaurants!$C$3:$C$98,"Capitol Hill",Restaurants!$AK$3:$AK$98,"Enriched")</f>
        <v>8</v>
      </c>
      <c r="D12" s="4" t="s">
        <v>14</v>
      </c>
      <c r="E12" s="5">
        <f>COUNTIFS(Restaurants!$F$3:$F$98,"$",Restaurants!$AK$3:$AK$98,"Enriched")</f>
        <v>7</v>
      </c>
    </row>
    <row r="13" spans="1:5" ht="15" customHeight="1" x14ac:dyDescent="0.45">
      <c r="A13" s="4" t="s">
        <v>15</v>
      </c>
      <c r="B13" s="5">
        <f>COUNTIFS(Restaurants!$C$3:$C$98,"Ballard",Restaurants!$AK$3:$AK$98,"Enriched")</f>
        <v>6</v>
      </c>
      <c r="D13" s="4" t="s">
        <v>16</v>
      </c>
      <c r="E13" s="5">
        <f>COUNTIFS(Restaurants!$F$3:$F$98,"$$",Restaurants!$AK$3:$AK$98,"Enriched")</f>
        <v>22</v>
      </c>
    </row>
    <row r="14" spans="1:5" ht="15" customHeight="1" x14ac:dyDescent="0.45">
      <c r="A14" s="4" t="s">
        <v>17</v>
      </c>
      <c r="B14" s="5">
        <f>COUNTIFS(Restaurants!$C$3:$C$98,"Belltown",Restaurants!$AK$3:$AK$98,"Enriched")</f>
        <v>6</v>
      </c>
      <c r="D14" s="4" t="s">
        <v>18</v>
      </c>
      <c r="E14" s="5">
        <f>COUNTIFS(Restaurants!$F$3:$F$98,"$$$",Restaurants!$AK$3:$AK$98,"Enriched")</f>
        <v>35</v>
      </c>
    </row>
    <row r="15" spans="1:5" ht="15" customHeight="1" x14ac:dyDescent="0.45">
      <c r="A15" s="4" t="s">
        <v>19</v>
      </c>
      <c r="B15" s="5">
        <f>COUNTIFS(Restaurants!$C$3:$C$98,"Fremont",Restaurants!$AK$3:$AK$98,"Enriched")</f>
        <v>5</v>
      </c>
      <c r="D15" s="4" t="s">
        <v>20</v>
      </c>
      <c r="E15" s="5">
        <f>COUNTIFS(Restaurants!$F$3:$F$98,"$$$$",Restaurants!$AK$3:$AK$98,"Enriched")</f>
        <v>7</v>
      </c>
    </row>
    <row r="16" spans="1:5" ht="15" customHeight="1" x14ac:dyDescent="0.45">
      <c r="A16" s="4" t="s">
        <v>21</v>
      </c>
      <c r="B16" s="5">
        <f>COUNTIFS(Restaurants!$C$3:$C$98,"Downtown",Restaurants!$AK$3:$AK$98,"Enriched")</f>
        <v>3</v>
      </c>
    </row>
    <row r="17" spans="1:5" ht="15" customHeight="1" x14ac:dyDescent="0.45">
      <c r="A17" s="4" t="s">
        <v>22</v>
      </c>
      <c r="B17" s="5">
        <f>COUNTIFS(Restaurants!$C$3:$C$98,"Pike Place",Restaurants!$AK$3:$AK$98,"Enriched")</f>
        <v>6</v>
      </c>
    </row>
    <row r="18" spans="1:5" ht="15" customHeight="1" x14ac:dyDescent="0.45">
      <c r="A18" s="4" t="s">
        <v>23</v>
      </c>
      <c r="B18" s="5">
        <f>COUNTIFS(Restaurants!$C$3:$C$98,"Queen Anne",Restaurants!$AK$3:$AK$98,"Enriched")</f>
        <v>7</v>
      </c>
      <c r="D18" s="8" t="s">
        <v>24</v>
      </c>
    </row>
    <row r="19" spans="1:5" ht="15" customHeight="1" x14ac:dyDescent="0.45">
      <c r="A19" s="4" t="s">
        <v>25</v>
      </c>
      <c r="B19" s="5">
        <f>COUNTIFS(Restaurants!$C$3:$C$98,"Wallingford",Restaurants!$AK$3:$AK$98,"Enriched")</f>
        <v>7</v>
      </c>
      <c r="D19" s="3" t="s">
        <v>26</v>
      </c>
      <c r="E19" s="3" t="s">
        <v>11</v>
      </c>
    </row>
    <row r="20" spans="1:5" ht="15" customHeight="1" x14ac:dyDescent="0.45">
      <c r="A20" s="4" t="s">
        <v>27</v>
      </c>
      <c r="B20" s="5">
        <f>COUNTIFS(Restaurants!$C$3:$C$98,"Madrona",Restaurants!$AK$3:$AK$98,"Enriched")</f>
        <v>5</v>
      </c>
      <c r="D20" s="4">
        <v>5</v>
      </c>
      <c r="E20" s="5">
        <f>COUNTIFS(Restaurants!$U$3:$U$98,5,Restaurants!$AK$3:$AK$98,"Enriched")</f>
        <v>7</v>
      </c>
    </row>
    <row r="21" spans="1:5" ht="15" customHeight="1" x14ac:dyDescent="0.45">
      <c r="A21" s="4" t="s">
        <v>28</v>
      </c>
      <c r="B21" s="5">
        <f>COUNTIFS(Restaurants!$C$3:$C$98,"Madrona-adjacent",Restaurants!$AK$3:$AK$98,"Enriched")</f>
        <v>3</v>
      </c>
      <c r="D21" s="4">
        <v>4</v>
      </c>
      <c r="E21" s="5">
        <f>COUNTIFS(Restaurants!$U$3:$U$98,4,Restaurants!$AK$3:$AK$98,"Enriched")</f>
        <v>33</v>
      </c>
    </row>
    <row r="22" spans="1:5" ht="15" customHeight="1" x14ac:dyDescent="0.45">
      <c r="A22" s="4" t="s">
        <v>29</v>
      </c>
      <c r="B22" s="5">
        <f>COUNTIFS(Restaurants!$C$3:$C$98,"Phinney Ridge",Restaurants!$AK$3:$AK$98,"Enriched")</f>
        <v>3</v>
      </c>
      <c r="D22" s="4">
        <v>3</v>
      </c>
      <c r="E22" s="5">
        <f>COUNTIFS(Restaurants!$U$3:$U$98,3,Restaurants!$AK$3:$AK$98,"Enriched")</f>
        <v>21</v>
      </c>
    </row>
    <row r="23" spans="1:5" ht="15" customHeight="1" x14ac:dyDescent="0.45">
      <c r="A23" s="4" t="s">
        <v>30</v>
      </c>
      <c r="B23" s="5">
        <f>COUNTIFS(Restaurants!$C$3:$C$98,"Greenwood",Restaurants!$AK$3:$AK$98,"Enriched")</f>
        <v>3</v>
      </c>
      <c r="D23" s="4">
        <v>2</v>
      </c>
      <c r="E23" s="5">
        <f>COUNTIFS(Restaurants!$U$3:$U$98,2,Restaurants!$AK$3:$AK$98,"Enriched")</f>
        <v>10</v>
      </c>
    </row>
    <row r="24" spans="1:5" ht="15" customHeight="1" x14ac:dyDescent="0.45">
      <c r="A24" s="4" t="s">
        <v>31</v>
      </c>
      <c r="B24" s="5">
        <f>COUNTIFS(Restaurants!$C$3:$C$98,"U District",Restaurants!$AK$3:$AK$98,"Enriched")</f>
        <v>9</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K118"/>
  <sheetViews>
    <sheetView tabSelected="1" zoomScaleNormal="100" workbookViewId="0">
      <pane xSplit="2" ySplit="2" topLeftCell="C117" activePane="bottomRight" state="frozen"/>
      <selection pane="topRight" activeCell="C1" sqref="C1"/>
      <selection pane="bottomLeft" activeCell="A3" sqref="A3"/>
      <selection pane="bottomRight" activeCell="A118" sqref="A118:XFD118"/>
    </sheetView>
  </sheetViews>
  <sheetFormatPr defaultColWidth="8.6640625" defaultRowHeight="14.25" x14ac:dyDescent="0.45"/>
  <cols>
    <col min="1" max="1" width="6" customWidth="1"/>
    <col min="2" max="2" width="24" customWidth="1"/>
    <col min="3" max="3" width="16" customWidth="1"/>
    <col min="4" max="4" width="30" customWidth="1"/>
    <col min="5" max="5" width="18" customWidth="1"/>
    <col min="6" max="6" width="9" customWidth="1"/>
    <col min="7" max="7" width="20" customWidth="1"/>
    <col min="8" max="8" width="46" customWidth="1"/>
    <col min="9" max="9" width="11" customWidth="1"/>
    <col min="10" max="10" width="30" customWidth="1"/>
    <col min="11" max="11" width="15" customWidth="1"/>
    <col min="12" max="12" width="18" customWidth="1"/>
    <col min="13" max="13" width="26" customWidth="1"/>
    <col min="14" max="14" width="12" customWidth="1"/>
    <col min="15" max="15" width="16" customWidth="1"/>
    <col min="16" max="16" width="10" customWidth="1"/>
    <col min="17" max="17" width="8" customWidth="1"/>
    <col min="18" max="18" width="10" customWidth="1"/>
    <col min="19" max="19" width="24" customWidth="1"/>
    <col min="20" max="22" width="11" customWidth="1"/>
    <col min="23" max="23" width="8" customWidth="1"/>
    <col min="24" max="24" width="11" customWidth="1"/>
    <col min="25" max="25" width="34" customWidth="1"/>
    <col min="26" max="27" width="24" customWidth="1"/>
    <col min="28" max="28" width="13" customWidth="1"/>
    <col min="29" max="29" width="30" customWidth="1"/>
    <col min="30" max="30" width="11" customWidth="1"/>
    <col min="31" max="32" width="16" customWidth="1"/>
    <col min="33" max="34" width="10" customWidth="1"/>
    <col min="35" max="35" width="13" customWidth="1"/>
    <col min="36" max="36" width="12" customWidth="1"/>
    <col min="37" max="37" width="14" customWidth="1"/>
  </cols>
  <sheetData>
    <row r="1" spans="1:37" ht="21.75" customHeight="1" x14ac:dyDescent="0.45">
      <c r="A1" s="15" t="s">
        <v>32</v>
      </c>
      <c r="B1" s="16"/>
      <c r="C1" s="16"/>
      <c r="D1" s="16"/>
      <c r="E1" s="16"/>
      <c r="F1" s="16"/>
      <c r="G1" s="17"/>
      <c r="H1" s="18" t="s">
        <v>33</v>
      </c>
      <c r="I1" s="16"/>
      <c r="J1" s="16"/>
      <c r="K1" s="16"/>
      <c r="L1" s="16"/>
      <c r="M1" s="16"/>
      <c r="N1" s="16"/>
      <c r="O1" s="16"/>
      <c r="P1" s="16"/>
      <c r="Q1" s="16"/>
      <c r="R1" s="16"/>
      <c r="S1" s="16"/>
      <c r="T1" s="16"/>
      <c r="U1" s="16"/>
      <c r="V1" s="16"/>
      <c r="W1" s="16"/>
      <c r="X1" s="16"/>
      <c r="Y1" s="16"/>
      <c r="Z1" s="16"/>
      <c r="AA1" s="16"/>
      <c r="AB1" s="16"/>
      <c r="AC1" s="16"/>
      <c r="AD1" s="16"/>
      <c r="AE1" s="16"/>
      <c r="AF1" s="16"/>
      <c r="AG1" s="16"/>
      <c r="AH1" s="16"/>
      <c r="AI1" s="16"/>
      <c r="AJ1" s="16"/>
      <c r="AK1" s="17"/>
    </row>
    <row r="2" spans="1:37" ht="39.75" customHeight="1" x14ac:dyDescent="0.45">
      <c r="A2" s="9" t="s">
        <v>34</v>
      </c>
      <c r="B2" s="9" t="s">
        <v>35</v>
      </c>
      <c r="C2" s="9" t="s">
        <v>36</v>
      </c>
      <c r="D2" s="9" t="s">
        <v>37</v>
      </c>
      <c r="E2" s="9" t="s">
        <v>38</v>
      </c>
      <c r="F2" s="9" t="s">
        <v>39</v>
      </c>
      <c r="G2" s="9" t="s">
        <v>40</v>
      </c>
      <c r="H2" s="9" t="s">
        <v>41</v>
      </c>
      <c r="I2" s="9" t="s">
        <v>42</v>
      </c>
      <c r="J2" s="9" t="s">
        <v>43</v>
      </c>
      <c r="K2" s="9" t="s">
        <v>44</v>
      </c>
      <c r="L2" s="9" t="s">
        <v>45</v>
      </c>
      <c r="M2" s="9" t="s">
        <v>46</v>
      </c>
      <c r="N2" s="9" t="s">
        <v>47</v>
      </c>
      <c r="O2" s="9" t="s">
        <v>48</v>
      </c>
      <c r="P2" s="9" t="s">
        <v>49</v>
      </c>
      <c r="Q2" s="9" t="s">
        <v>50</v>
      </c>
      <c r="R2" s="9" t="s">
        <v>51</v>
      </c>
      <c r="S2" s="9" t="s">
        <v>52</v>
      </c>
      <c r="T2" s="9" t="s">
        <v>53</v>
      </c>
      <c r="U2" s="9" t="s">
        <v>54</v>
      </c>
      <c r="V2" s="9" t="s">
        <v>55</v>
      </c>
      <c r="W2" s="9" t="s">
        <v>56</v>
      </c>
      <c r="X2" s="9" t="s">
        <v>57</v>
      </c>
      <c r="Y2" s="9" t="s">
        <v>58</v>
      </c>
      <c r="Z2" s="9" t="s">
        <v>59</v>
      </c>
      <c r="AA2" s="9" t="s">
        <v>60</v>
      </c>
      <c r="AB2" s="9" t="s">
        <v>61</v>
      </c>
      <c r="AC2" s="9" t="s">
        <v>62</v>
      </c>
      <c r="AD2" s="9" t="s">
        <v>63</v>
      </c>
      <c r="AE2" s="9" t="s">
        <v>64</v>
      </c>
      <c r="AF2" s="9" t="s">
        <v>65</v>
      </c>
      <c r="AG2" s="9" t="s">
        <v>66</v>
      </c>
      <c r="AH2" s="9" t="s">
        <v>67</v>
      </c>
      <c r="AI2" s="9" t="s">
        <v>68</v>
      </c>
      <c r="AJ2" s="9" t="s">
        <v>69</v>
      </c>
      <c r="AK2" s="9" t="s">
        <v>70</v>
      </c>
    </row>
    <row r="3" spans="1:37" ht="68.25" customHeight="1" x14ac:dyDescent="0.45">
      <c r="A3" s="10">
        <v>1</v>
      </c>
      <c r="B3" s="10" t="s">
        <v>71</v>
      </c>
      <c r="C3" s="10" t="s">
        <v>13</v>
      </c>
      <c r="D3" s="10" t="s">
        <v>72</v>
      </c>
      <c r="E3" s="10" t="s">
        <v>73</v>
      </c>
      <c r="F3" s="10" t="s">
        <v>20</v>
      </c>
      <c r="G3" s="10" t="s">
        <v>74</v>
      </c>
      <c r="H3" s="11" t="s">
        <v>75</v>
      </c>
      <c r="I3" s="11" t="s">
        <v>76</v>
      </c>
      <c r="J3" s="11" t="s">
        <v>77</v>
      </c>
      <c r="K3" s="11" t="s">
        <v>78</v>
      </c>
      <c r="L3" s="11" t="s">
        <v>79</v>
      </c>
      <c r="M3" s="11" t="s">
        <v>80</v>
      </c>
      <c r="N3" s="11" t="s">
        <v>81</v>
      </c>
      <c r="O3" s="11" t="s">
        <v>82</v>
      </c>
      <c r="P3" s="11" t="s">
        <v>83</v>
      </c>
      <c r="Q3" s="11" t="s">
        <v>84</v>
      </c>
      <c r="R3" s="11" t="s">
        <v>84</v>
      </c>
      <c r="S3" s="11" t="s">
        <v>85</v>
      </c>
      <c r="T3" s="11" t="s">
        <v>86</v>
      </c>
      <c r="U3" s="11">
        <v>5</v>
      </c>
      <c r="V3" s="11" t="s">
        <v>84</v>
      </c>
      <c r="W3" s="11"/>
      <c r="X3" s="11" t="s">
        <v>87</v>
      </c>
      <c r="Y3" s="11" t="s">
        <v>88</v>
      </c>
      <c r="Z3" s="11" t="s">
        <v>89</v>
      </c>
      <c r="AA3" s="11" t="s">
        <v>90</v>
      </c>
      <c r="AB3" s="11" t="s">
        <v>91</v>
      </c>
      <c r="AC3" s="11" t="s">
        <v>92</v>
      </c>
      <c r="AD3" s="11" t="s">
        <v>93</v>
      </c>
      <c r="AE3" s="11"/>
      <c r="AF3" s="11"/>
      <c r="AG3" s="11"/>
      <c r="AH3" s="11"/>
      <c r="AI3" s="11" t="s">
        <v>94</v>
      </c>
      <c r="AJ3" s="11" t="s">
        <v>95</v>
      </c>
      <c r="AK3" s="11" t="s">
        <v>96</v>
      </c>
    </row>
    <row r="4" spans="1:37" ht="57" customHeight="1" x14ac:dyDescent="0.45">
      <c r="A4" s="10">
        <v>2</v>
      </c>
      <c r="B4" s="10" t="s">
        <v>97</v>
      </c>
      <c r="C4" s="10" t="s">
        <v>13</v>
      </c>
      <c r="D4" s="10" t="s">
        <v>98</v>
      </c>
      <c r="E4" s="10" t="s">
        <v>73</v>
      </c>
      <c r="F4" s="10" t="s">
        <v>16</v>
      </c>
      <c r="G4" s="10" t="s">
        <v>99</v>
      </c>
      <c r="H4" s="11" t="s">
        <v>100</v>
      </c>
      <c r="I4" s="11" t="s">
        <v>101</v>
      </c>
      <c r="J4" s="11" t="s">
        <v>102</v>
      </c>
      <c r="K4" s="11" t="s">
        <v>103</v>
      </c>
      <c r="L4" s="11" t="s">
        <v>104</v>
      </c>
      <c r="M4" s="11" t="s">
        <v>105</v>
      </c>
      <c r="N4" s="11" t="s">
        <v>106</v>
      </c>
      <c r="O4" s="11" t="s">
        <v>107</v>
      </c>
      <c r="P4" s="11" t="s">
        <v>83</v>
      </c>
      <c r="Q4" s="11" t="s">
        <v>84</v>
      </c>
      <c r="R4" s="11" t="s">
        <v>83</v>
      </c>
      <c r="S4" s="11" t="s">
        <v>108</v>
      </c>
      <c r="T4" s="11" t="s">
        <v>109</v>
      </c>
      <c r="U4" s="11">
        <v>4</v>
      </c>
      <c r="V4" s="11" t="s">
        <v>84</v>
      </c>
      <c r="W4" s="11"/>
      <c r="X4" s="11" t="s">
        <v>110</v>
      </c>
      <c r="Y4" s="11" t="s">
        <v>111</v>
      </c>
      <c r="Z4" s="11" t="s">
        <v>112</v>
      </c>
      <c r="AA4" s="11" t="s">
        <v>113</v>
      </c>
      <c r="AB4" s="11" t="s">
        <v>114</v>
      </c>
      <c r="AC4" s="11" t="s">
        <v>115</v>
      </c>
      <c r="AD4" s="11" t="s">
        <v>93</v>
      </c>
      <c r="AE4" s="11"/>
      <c r="AF4" s="11"/>
      <c r="AG4" s="11"/>
      <c r="AH4" s="11"/>
      <c r="AI4" s="11" t="s">
        <v>94</v>
      </c>
      <c r="AJ4" s="11" t="s">
        <v>95</v>
      </c>
      <c r="AK4" s="11" t="s">
        <v>96</v>
      </c>
    </row>
    <row r="5" spans="1:37" ht="57" customHeight="1" x14ac:dyDescent="0.45">
      <c r="A5" s="10">
        <v>3</v>
      </c>
      <c r="B5" s="10" t="s">
        <v>116</v>
      </c>
      <c r="C5" s="10" t="s">
        <v>13</v>
      </c>
      <c r="D5" s="10" t="s">
        <v>117</v>
      </c>
      <c r="E5" s="10" t="s">
        <v>118</v>
      </c>
      <c r="F5" s="10" t="s">
        <v>16</v>
      </c>
      <c r="G5" s="10" t="s">
        <v>119</v>
      </c>
      <c r="H5" s="11" t="s">
        <v>120</v>
      </c>
      <c r="I5" s="11" t="s">
        <v>76</v>
      </c>
      <c r="J5" s="11" t="s">
        <v>121</v>
      </c>
      <c r="K5" s="11" t="s">
        <v>122</v>
      </c>
      <c r="L5" s="11" t="s">
        <v>118</v>
      </c>
      <c r="M5" s="11" t="s">
        <v>123</v>
      </c>
      <c r="N5" s="11" t="s">
        <v>106</v>
      </c>
      <c r="O5" s="11" t="s">
        <v>124</v>
      </c>
      <c r="P5" s="11" t="s">
        <v>83</v>
      </c>
      <c r="Q5" s="11" t="s">
        <v>83</v>
      </c>
      <c r="R5" s="11" t="s">
        <v>83</v>
      </c>
      <c r="S5" s="11" t="s">
        <v>125</v>
      </c>
      <c r="T5" s="11" t="s">
        <v>86</v>
      </c>
      <c r="U5" s="11">
        <v>3</v>
      </c>
      <c r="V5" s="11" t="s">
        <v>84</v>
      </c>
      <c r="W5" s="11"/>
      <c r="X5" s="11" t="s">
        <v>126</v>
      </c>
      <c r="Y5" s="11" t="s">
        <v>127</v>
      </c>
      <c r="Z5" s="11" t="s">
        <v>128</v>
      </c>
      <c r="AA5" s="11" t="s">
        <v>129</v>
      </c>
      <c r="AB5" s="11" t="s">
        <v>130</v>
      </c>
      <c r="AC5" s="11" t="s">
        <v>131</v>
      </c>
      <c r="AD5" s="11" t="s">
        <v>93</v>
      </c>
      <c r="AE5" s="11"/>
      <c r="AF5" s="11"/>
      <c r="AG5" s="11"/>
      <c r="AH5" s="11"/>
      <c r="AI5" s="11" t="s">
        <v>94</v>
      </c>
      <c r="AJ5" s="11" t="s">
        <v>95</v>
      </c>
      <c r="AK5" s="11" t="s">
        <v>96</v>
      </c>
    </row>
    <row r="6" spans="1:37" ht="68.25" customHeight="1" x14ac:dyDescent="0.45">
      <c r="A6" s="10">
        <v>4</v>
      </c>
      <c r="B6" s="10" t="s">
        <v>132</v>
      </c>
      <c r="C6" s="10" t="s">
        <v>13</v>
      </c>
      <c r="D6" s="10" t="s">
        <v>133</v>
      </c>
      <c r="E6" s="10" t="s">
        <v>134</v>
      </c>
      <c r="F6" s="10" t="s">
        <v>18</v>
      </c>
      <c r="G6" s="10" t="s">
        <v>135</v>
      </c>
      <c r="H6" s="11" t="s">
        <v>136</v>
      </c>
      <c r="I6" s="11" t="s">
        <v>76</v>
      </c>
      <c r="J6" s="11" t="s">
        <v>137</v>
      </c>
      <c r="K6" s="11" t="s">
        <v>138</v>
      </c>
      <c r="L6" s="11" t="s">
        <v>139</v>
      </c>
      <c r="M6" s="11" t="s">
        <v>140</v>
      </c>
      <c r="N6" s="11" t="s">
        <v>81</v>
      </c>
      <c r="O6" s="11" t="s">
        <v>141</v>
      </c>
      <c r="P6" s="11" t="s">
        <v>83</v>
      </c>
      <c r="Q6" s="11" t="s">
        <v>84</v>
      </c>
      <c r="R6" s="11" t="s">
        <v>83</v>
      </c>
      <c r="S6" s="11" t="s">
        <v>142</v>
      </c>
      <c r="T6" s="11" t="s">
        <v>86</v>
      </c>
      <c r="U6" s="11">
        <v>4</v>
      </c>
      <c r="V6" s="11" t="s">
        <v>83</v>
      </c>
      <c r="W6" s="11"/>
      <c r="X6" s="11" t="s">
        <v>143</v>
      </c>
      <c r="Y6" s="11" t="s">
        <v>144</v>
      </c>
      <c r="Z6" s="11" t="s">
        <v>145</v>
      </c>
      <c r="AA6" s="11" t="s">
        <v>146</v>
      </c>
      <c r="AB6" s="11" t="s">
        <v>147</v>
      </c>
      <c r="AC6" s="11" t="s">
        <v>148</v>
      </c>
      <c r="AD6" s="11" t="s">
        <v>93</v>
      </c>
      <c r="AE6" s="11"/>
      <c r="AF6" s="11"/>
      <c r="AG6" s="11"/>
      <c r="AH6" s="11"/>
      <c r="AI6" s="11" t="s">
        <v>94</v>
      </c>
      <c r="AJ6" s="11" t="s">
        <v>95</v>
      </c>
      <c r="AK6" s="11" t="s">
        <v>96</v>
      </c>
    </row>
    <row r="7" spans="1:37" ht="68.25" customHeight="1" x14ac:dyDescent="0.45">
      <c r="A7" s="10">
        <v>5</v>
      </c>
      <c r="B7" s="10" t="s">
        <v>149</v>
      </c>
      <c r="C7" s="10" t="s">
        <v>13</v>
      </c>
      <c r="D7" s="10" t="s">
        <v>150</v>
      </c>
      <c r="E7" s="10" t="s">
        <v>151</v>
      </c>
      <c r="F7" s="10" t="s">
        <v>18</v>
      </c>
      <c r="G7" s="10" t="s">
        <v>152</v>
      </c>
      <c r="H7" s="11" t="s">
        <v>153</v>
      </c>
      <c r="I7" s="11" t="s">
        <v>76</v>
      </c>
      <c r="J7" s="11" t="s">
        <v>154</v>
      </c>
      <c r="K7" s="11" t="s">
        <v>155</v>
      </c>
      <c r="L7" s="11" t="s">
        <v>156</v>
      </c>
      <c r="M7" s="11" t="s">
        <v>157</v>
      </c>
      <c r="N7" s="11" t="s">
        <v>81</v>
      </c>
      <c r="O7" s="11" t="s">
        <v>141</v>
      </c>
      <c r="P7" s="11" t="s">
        <v>83</v>
      </c>
      <c r="Q7" s="11" t="s">
        <v>83</v>
      </c>
      <c r="R7" s="11" t="s">
        <v>83</v>
      </c>
      <c r="S7" s="11" t="s">
        <v>158</v>
      </c>
      <c r="T7" s="11" t="s">
        <v>86</v>
      </c>
      <c r="U7" s="11">
        <v>4</v>
      </c>
      <c r="V7" s="11" t="s">
        <v>83</v>
      </c>
      <c r="W7" s="11"/>
      <c r="X7" s="11" t="s">
        <v>159</v>
      </c>
      <c r="Y7" s="11" t="s">
        <v>160</v>
      </c>
      <c r="Z7" s="11" t="s">
        <v>161</v>
      </c>
      <c r="AA7" s="11" t="s">
        <v>162</v>
      </c>
      <c r="AB7" s="11" t="s">
        <v>147</v>
      </c>
      <c r="AC7" s="11" t="s">
        <v>163</v>
      </c>
      <c r="AD7" s="11" t="s">
        <v>93</v>
      </c>
      <c r="AE7" s="11"/>
      <c r="AF7" s="11"/>
      <c r="AG7" s="11"/>
      <c r="AH7" s="11"/>
      <c r="AI7" s="11" t="s">
        <v>94</v>
      </c>
      <c r="AJ7" s="11" t="s">
        <v>95</v>
      </c>
      <c r="AK7" s="11" t="s">
        <v>96</v>
      </c>
    </row>
    <row r="8" spans="1:37" ht="68.25" customHeight="1" x14ac:dyDescent="0.45">
      <c r="A8" s="10">
        <v>6</v>
      </c>
      <c r="B8" s="10" t="s">
        <v>164</v>
      </c>
      <c r="C8" s="10" t="s">
        <v>13</v>
      </c>
      <c r="D8" s="10" t="s">
        <v>165</v>
      </c>
      <c r="E8" s="10" t="s">
        <v>73</v>
      </c>
      <c r="F8" s="10" t="s">
        <v>18</v>
      </c>
      <c r="G8" s="10" t="s">
        <v>166</v>
      </c>
      <c r="H8" s="11" t="s">
        <v>167</v>
      </c>
      <c r="I8" s="11" t="s">
        <v>76</v>
      </c>
      <c r="J8" s="11" t="s">
        <v>168</v>
      </c>
      <c r="K8" s="11" t="s">
        <v>169</v>
      </c>
      <c r="L8" s="11" t="s">
        <v>170</v>
      </c>
      <c r="M8" s="11" t="s">
        <v>171</v>
      </c>
      <c r="N8" s="11" t="s">
        <v>81</v>
      </c>
      <c r="O8" s="11" t="s">
        <v>141</v>
      </c>
      <c r="P8" s="11" t="s">
        <v>83</v>
      </c>
      <c r="Q8" s="11" t="s">
        <v>84</v>
      </c>
      <c r="R8" s="11" t="s">
        <v>84</v>
      </c>
      <c r="S8" s="11" t="s">
        <v>172</v>
      </c>
      <c r="T8" s="11" t="s">
        <v>86</v>
      </c>
      <c r="U8" s="11">
        <v>4</v>
      </c>
      <c r="V8" s="11" t="s">
        <v>84</v>
      </c>
      <c r="W8" s="11"/>
      <c r="X8" s="11" t="s">
        <v>173</v>
      </c>
      <c r="Y8" s="11" t="s">
        <v>174</v>
      </c>
      <c r="Z8" s="11" t="s">
        <v>175</v>
      </c>
      <c r="AA8" s="11" t="s">
        <v>176</v>
      </c>
      <c r="AB8" s="11" t="s">
        <v>177</v>
      </c>
      <c r="AC8" s="11" t="s">
        <v>178</v>
      </c>
      <c r="AD8" s="11" t="s">
        <v>93</v>
      </c>
      <c r="AE8" s="11"/>
      <c r="AF8" s="11"/>
      <c r="AG8" s="11"/>
      <c r="AH8" s="11"/>
      <c r="AI8" s="11" t="s">
        <v>94</v>
      </c>
      <c r="AJ8" s="11" t="s">
        <v>95</v>
      </c>
      <c r="AK8" s="11" t="s">
        <v>96</v>
      </c>
    </row>
    <row r="9" spans="1:37" ht="68.25" customHeight="1" x14ac:dyDescent="0.45">
      <c r="A9" s="10">
        <v>7</v>
      </c>
      <c r="B9" s="10" t="s">
        <v>179</v>
      </c>
      <c r="C9" s="10" t="s">
        <v>13</v>
      </c>
      <c r="D9" s="10" t="s">
        <v>180</v>
      </c>
      <c r="E9" s="10" t="s">
        <v>181</v>
      </c>
      <c r="F9" s="10" t="s">
        <v>20</v>
      </c>
      <c r="G9" s="10" t="s">
        <v>182</v>
      </c>
      <c r="H9" s="11" t="s">
        <v>183</v>
      </c>
      <c r="I9" s="11" t="s">
        <v>76</v>
      </c>
      <c r="J9" s="11" t="s">
        <v>184</v>
      </c>
      <c r="K9" s="11" t="s">
        <v>185</v>
      </c>
      <c r="L9" s="11" t="s">
        <v>186</v>
      </c>
      <c r="M9" s="11" t="s">
        <v>187</v>
      </c>
      <c r="N9" s="11" t="s">
        <v>81</v>
      </c>
      <c r="O9" s="11" t="s">
        <v>188</v>
      </c>
      <c r="P9" s="11" t="s">
        <v>83</v>
      </c>
      <c r="Q9" s="11" t="s">
        <v>84</v>
      </c>
      <c r="R9" s="11" t="s">
        <v>83</v>
      </c>
      <c r="S9" s="11" t="s">
        <v>189</v>
      </c>
      <c r="T9" s="11" t="s">
        <v>190</v>
      </c>
      <c r="U9" s="11">
        <v>5</v>
      </c>
      <c r="V9" s="11" t="s">
        <v>84</v>
      </c>
      <c r="W9" s="11"/>
      <c r="X9" s="11" t="s">
        <v>191</v>
      </c>
      <c r="Y9" s="11" t="s">
        <v>192</v>
      </c>
      <c r="Z9" s="11" t="s">
        <v>193</v>
      </c>
      <c r="AA9" s="11" t="s">
        <v>194</v>
      </c>
      <c r="AB9" s="11" t="s">
        <v>195</v>
      </c>
      <c r="AC9" s="11" t="s">
        <v>196</v>
      </c>
      <c r="AD9" s="11" t="s">
        <v>93</v>
      </c>
      <c r="AE9" s="11"/>
      <c r="AF9" s="11"/>
      <c r="AG9" s="11"/>
      <c r="AH9" s="11"/>
      <c r="AI9" s="11" t="s">
        <v>94</v>
      </c>
      <c r="AJ9" s="11" t="s">
        <v>95</v>
      </c>
      <c r="AK9" s="11" t="s">
        <v>96</v>
      </c>
    </row>
    <row r="10" spans="1:37" ht="68.25" customHeight="1" x14ac:dyDescent="0.45">
      <c r="A10" s="10">
        <v>8</v>
      </c>
      <c r="B10" s="10" t="s">
        <v>197</v>
      </c>
      <c r="C10" s="10" t="s">
        <v>13</v>
      </c>
      <c r="D10" s="10" t="s">
        <v>198</v>
      </c>
      <c r="E10" s="10" t="s">
        <v>199</v>
      </c>
      <c r="F10" s="10" t="s">
        <v>18</v>
      </c>
      <c r="G10" s="10" t="s">
        <v>200</v>
      </c>
      <c r="H10" s="11" t="s">
        <v>201</v>
      </c>
      <c r="I10" s="11" t="s">
        <v>76</v>
      </c>
      <c r="J10" s="11" t="s">
        <v>202</v>
      </c>
      <c r="K10" s="11" t="s">
        <v>203</v>
      </c>
      <c r="L10" s="11" t="s">
        <v>204</v>
      </c>
      <c r="M10" s="11" t="s">
        <v>205</v>
      </c>
      <c r="N10" s="11" t="s">
        <v>81</v>
      </c>
      <c r="O10" s="11" t="s">
        <v>206</v>
      </c>
      <c r="P10" s="11" t="s">
        <v>84</v>
      </c>
      <c r="Q10" s="11" t="s">
        <v>84</v>
      </c>
      <c r="R10" s="11" t="s">
        <v>83</v>
      </c>
      <c r="S10" s="11" t="s">
        <v>207</v>
      </c>
      <c r="T10" s="11" t="s">
        <v>86</v>
      </c>
      <c r="U10" s="11">
        <v>4</v>
      </c>
      <c r="V10" s="11" t="s">
        <v>84</v>
      </c>
      <c r="W10" s="11"/>
      <c r="X10" s="11" t="s">
        <v>208</v>
      </c>
      <c r="Y10" s="11" t="s">
        <v>209</v>
      </c>
      <c r="Z10" s="11" t="s">
        <v>210</v>
      </c>
      <c r="AA10" s="11" t="s">
        <v>211</v>
      </c>
      <c r="AB10" s="11" t="s">
        <v>212</v>
      </c>
      <c r="AC10" s="11" t="s">
        <v>198</v>
      </c>
      <c r="AD10" s="11" t="s">
        <v>93</v>
      </c>
      <c r="AE10" s="11"/>
      <c r="AF10" s="11"/>
      <c r="AG10" s="11"/>
      <c r="AH10" s="11"/>
      <c r="AI10" s="11" t="s">
        <v>94</v>
      </c>
      <c r="AJ10" s="11" t="s">
        <v>95</v>
      </c>
      <c r="AK10" s="11" t="s">
        <v>96</v>
      </c>
    </row>
    <row r="11" spans="1:37" ht="15" customHeight="1" x14ac:dyDescent="0.45">
      <c r="A11" s="12">
        <v>9</v>
      </c>
      <c r="B11" s="12" t="s">
        <v>213</v>
      </c>
      <c r="C11" s="12" t="s">
        <v>13</v>
      </c>
      <c r="D11" s="12" t="s">
        <v>214</v>
      </c>
      <c r="E11" s="12" t="s">
        <v>215</v>
      </c>
      <c r="F11" s="12"/>
      <c r="G11" s="12" t="s">
        <v>216</v>
      </c>
      <c r="H11" s="12"/>
      <c r="I11" s="12" t="s">
        <v>76</v>
      </c>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t="s">
        <v>217</v>
      </c>
    </row>
    <row r="12" spans="1:37" ht="15" customHeight="1" x14ac:dyDescent="0.45">
      <c r="A12" s="12">
        <v>10</v>
      </c>
      <c r="B12" s="12" t="s">
        <v>218</v>
      </c>
      <c r="C12" s="12" t="s">
        <v>13</v>
      </c>
      <c r="D12" s="12" t="s">
        <v>219</v>
      </c>
      <c r="E12" s="12" t="s">
        <v>220</v>
      </c>
      <c r="F12" s="12"/>
      <c r="G12" s="12" t="s">
        <v>99</v>
      </c>
      <c r="H12" s="12"/>
      <c r="I12" s="12" t="s">
        <v>76</v>
      </c>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c r="AI12" s="12"/>
      <c r="AJ12" s="12"/>
      <c r="AK12" s="12" t="s">
        <v>217</v>
      </c>
    </row>
    <row r="13" spans="1:37" ht="68.25" customHeight="1" x14ac:dyDescent="0.45">
      <c r="A13" s="10">
        <v>11</v>
      </c>
      <c r="B13" s="10" t="s">
        <v>221</v>
      </c>
      <c r="C13" s="10" t="s">
        <v>15</v>
      </c>
      <c r="D13" s="10" t="s">
        <v>222</v>
      </c>
      <c r="E13" s="10" t="s">
        <v>73</v>
      </c>
      <c r="F13" s="10" t="s">
        <v>18</v>
      </c>
      <c r="G13" s="10" t="s">
        <v>223</v>
      </c>
      <c r="H13" s="11" t="s">
        <v>224</v>
      </c>
      <c r="I13" s="11" t="s">
        <v>76</v>
      </c>
      <c r="J13" s="11" t="s">
        <v>225</v>
      </c>
      <c r="K13" s="11" t="s">
        <v>226</v>
      </c>
      <c r="L13" s="11" t="s">
        <v>227</v>
      </c>
      <c r="M13" s="11" t="s">
        <v>171</v>
      </c>
      <c r="N13" s="11" t="s">
        <v>81</v>
      </c>
      <c r="O13" s="11" t="s">
        <v>141</v>
      </c>
      <c r="P13" s="11" t="s">
        <v>83</v>
      </c>
      <c r="Q13" s="11" t="s">
        <v>84</v>
      </c>
      <c r="R13" s="11" t="s">
        <v>84</v>
      </c>
      <c r="S13" s="11" t="s">
        <v>228</v>
      </c>
      <c r="T13" s="11" t="s">
        <v>86</v>
      </c>
      <c r="U13" s="11">
        <v>4</v>
      </c>
      <c r="V13" s="11" t="s">
        <v>84</v>
      </c>
      <c r="W13" s="11"/>
      <c r="X13" s="11" t="s">
        <v>229</v>
      </c>
      <c r="Y13" s="11" t="s">
        <v>230</v>
      </c>
      <c r="Z13" s="11" t="s">
        <v>231</v>
      </c>
      <c r="AA13" s="11" t="s">
        <v>232</v>
      </c>
      <c r="AB13" s="11" t="s">
        <v>114</v>
      </c>
      <c r="AC13" s="11" t="s">
        <v>222</v>
      </c>
      <c r="AD13" s="11" t="s">
        <v>93</v>
      </c>
      <c r="AE13" s="11"/>
      <c r="AF13" s="11"/>
      <c r="AG13" s="11"/>
      <c r="AH13" s="11"/>
      <c r="AI13" s="11" t="s">
        <v>94</v>
      </c>
      <c r="AJ13" s="11" t="s">
        <v>95</v>
      </c>
      <c r="AK13" s="11" t="s">
        <v>96</v>
      </c>
    </row>
    <row r="14" spans="1:37" ht="68.25" customHeight="1" x14ac:dyDescent="0.45">
      <c r="A14" s="10">
        <v>12</v>
      </c>
      <c r="B14" s="10" t="s">
        <v>233</v>
      </c>
      <c r="C14" s="10" t="s">
        <v>15</v>
      </c>
      <c r="D14" s="10" t="s">
        <v>234</v>
      </c>
      <c r="E14" s="10" t="s">
        <v>235</v>
      </c>
      <c r="F14" s="10" t="s">
        <v>18</v>
      </c>
      <c r="G14" s="10" t="s">
        <v>236</v>
      </c>
      <c r="H14" s="11" t="s">
        <v>237</v>
      </c>
      <c r="I14" s="11" t="s">
        <v>76</v>
      </c>
      <c r="J14" s="11" t="s">
        <v>238</v>
      </c>
      <c r="K14" s="11" t="s">
        <v>239</v>
      </c>
      <c r="L14" s="11" t="s">
        <v>240</v>
      </c>
      <c r="M14" s="11" t="s">
        <v>241</v>
      </c>
      <c r="N14" s="11" t="s">
        <v>106</v>
      </c>
      <c r="O14" s="11" t="s">
        <v>242</v>
      </c>
      <c r="P14" s="11" t="s">
        <v>83</v>
      </c>
      <c r="Q14" s="11" t="s">
        <v>84</v>
      </c>
      <c r="R14" s="11" t="s">
        <v>83</v>
      </c>
      <c r="S14" s="11" t="s">
        <v>243</v>
      </c>
      <c r="T14" s="11" t="s">
        <v>109</v>
      </c>
      <c r="U14" s="11">
        <v>4</v>
      </c>
      <c r="V14" s="11" t="s">
        <v>84</v>
      </c>
      <c r="W14" s="11"/>
      <c r="X14" s="11" t="s">
        <v>143</v>
      </c>
      <c r="Y14" s="11" t="s">
        <v>244</v>
      </c>
      <c r="Z14" s="11" t="s">
        <v>245</v>
      </c>
      <c r="AA14" s="11" t="s">
        <v>246</v>
      </c>
      <c r="AB14" s="11" t="s">
        <v>247</v>
      </c>
      <c r="AC14" s="11" t="s">
        <v>248</v>
      </c>
      <c r="AD14" s="11" t="s">
        <v>93</v>
      </c>
      <c r="AE14" s="11"/>
      <c r="AF14" s="11"/>
      <c r="AG14" s="11"/>
      <c r="AH14" s="11"/>
      <c r="AI14" s="11" t="s">
        <v>94</v>
      </c>
      <c r="AJ14" s="11" t="s">
        <v>95</v>
      </c>
      <c r="AK14" s="11" t="s">
        <v>96</v>
      </c>
    </row>
    <row r="15" spans="1:37" ht="68.25" customHeight="1" x14ac:dyDescent="0.45">
      <c r="A15" s="10">
        <v>13</v>
      </c>
      <c r="B15" s="10" t="s">
        <v>249</v>
      </c>
      <c r="C15" s="10" t="s">
        <v>15</v>
      </c>
      <c r="D15" s="10" t="s">
        <v>250</v>
      </c>
      <c r="E15" s="10" t="s">
        <v>73</v>
      </c>
      <c r="F15" s="10" t="s">
        <v>18</v>
      </c>
      <c r="G15" s="10" t="s">
        <v>251</v>
      </c>
      <c r="H15" s="11" t="s">
        <v>252</v>
      </c>
      <c r="I15" s="11" t="s">
        <v>76</v>
      </c>
      <c r="J15" s="11" t="s">
        <v>253</v>
      </c>
      <c r="K15" s="11" t="s">
        <v>254</v>
      </c>
      <c r="L15" s="11" t="s">
        <v>255</v>
      </c>
      <c r="M15" s="11" t="s">
        <v>256</v>
      </c>
      <c r="N15" s="11" t="s">
        <v>81</v>
      </c>
      <c r="O15" s="11" t="s">
        <v>141</v>
      </c>
      <c r="P15" s="11" t="s">
        <v>83</v>
      </c>
      <c r="Q15" s="11" t="s">
        <v>83</v>
      </c>
      <c r="R15" s="11" t="s">
        <v>83</v>
      </c>
      <c r="S15" s="11" t="s">
        <v>257</v>
      </c>
      <c r="T15" s="11" t="s">
        <v>86</v>
      </c>
      <c r="U15" s="11">
        <v>4</v>
      </c>
      <c r="V15" s="11" t="s">
        <v>84</v>
      </c>
      <c r="W15" s="11"/>
      <c r="X15" s="11" t="s">
        <v>258</v>
      </c>
      <c r="Y15" s="11" t="s">
        <v>259</v>
      </c>
      <c r="Z15" s="11" t="s">
        <v>260</v>
      </c>
      <c r="AA15" s="11" t="s">
        <v>261</v>
      </c>
      <c r="AB15" s="11" t="s">
        <v>114</v>
      </c>
      <c r="AC15" s="11" t="s">
        <v>262</v>
      </c>
      <c r="AD15" s="11" t="s">
        <v>93</v>
      </c>
      <c r="AE15" s="11"/>
      <c r="AF15" s="11"/>
      <c r="AG15" s="11"/>
      <c r="AH15" s="11"/>
      <c r="AI15" s="11" t="s">
        <v>94</v>
      </c>
      <c r="AJ15" s="11" t="s">
        <v>95</v>
      </c>
      <c r="AK15" s="11" t="s">
        <v>96</v>
      </c>
    </row>
    <row r="16" spans="1:37" ht="23.25" customHeight="1" x14ac:dyDescent="0.45">
      <c r="A16" s="12">
        <v>14</v>
      </c>
      <c r="B16" s="12" t="s">
        <v>263</v>
      </c>
      <c r="C16" s="12" t="s">
        <v>15</v>
      </c>
      <c r="D16" s="12" t="s">
        <v>264</v>
      </c>
      <c r="E16" s="12" t="s">
        <v>265</v>
      </c>
      <c r="F16" s="12"/>
      <c r="G16" s="12" t="s">
        <v>266</v>
      </c>
      <c r="H16" s="12"/>
      <c r="I16" s="12" t="s">
        <v>76</v>
      </c>
      <c r="J16" s="12"/>
      <c r="K16" s="12"/>
      <c r="L16" s="12"/>
      <c r="M16" s="12"/>
      <c r="N16" s="12"/>
      <c r="O16" s="12"/>
      <c r="P16" s="12"/>
      <c r="Q16" s="12"/>
      <c r="R16" s="12"/>
      <c r="S16" s="12"/>
      <c r="T16" s="12"/>
      <c r="U16" s="12"/>
      <c r="V16" s="12"/>
      <c r="W16" s="12"/>
      <c r="X16" s="12"/>
      <c r="Y16" s="12" t="s">
        <v>267</v>
      </c>
      <c r="Z16" s="12"/>
      <c r="AA16" s="12"/>
      <c r="AB16" s="12"/>
      <c r="AC16" s="12"/>
      <c r="AD16" s="12"/>
      <c r="AE16" s="12"/>
      <c r="AF16" s="12"/>
      <c r="AG16" s="12"/>
      <c r="AH16" s="12"/>
      <c r="AI16" s="12"/>
      <c r="AJ16" s="12" t="s">
        <v>95</v>
      </c>
      <c r="AK16" s="12" t="s">
        <v>217</v>
      </c>
    </row>
    <row r="17" spans="1:37" ht="68.25" customHeight="1" x14ac:dyDescent="0.45">
      <c r="A17" s="10">
        <v>15</v>
      </c>
      <c r="B17" s="10" t="s">
        <v>268</v>
      </c>
      <c r="C17" s="10" t="s">
        <v>15</v>
      </c>
      <c r="D17" s="10" t="s">
        <v>269</v>
      </c>
      <c r="E17" s="10" t="s">
        <v>270</v>
      </c>
      <c r="F17" s="10" t="s">
        <v>16</v>
      </c>
      <c r="G17" s="10" t="s">
        <v>271</v>
      </c>
      <c r="H17" s="11" t="s">
        <v>272</v>
      </c>
      <c r="I17" s="11" t="s">
        <v>76</v>
      </c>
      <c r="J17" s="11" t="s">
        <v>273</v>
      </c>
      <c r="K17" s="11" t="s">
        <v>274</v>
      </c>
      <c r="L17" s="11" t="s">
        <v>275</v>
      </c>
      <c r="M17" s="11" t="s">
        <v>276</v>
      </c>
      <c r="N17" s="11" t="s">
        <v>106</v>
      </c>
      <c r="O17" s="11" t="s">
        <v>277</v>
      </c>
      <c r="P17" s="11" t="s">
        <v>83</v>
      </c>
      <c r="Q17" s="11" t="s">
        <v>83</v>
      </c>
      <c r="R17" s="11" t="s">
        <v>83</v>
      </c>
      <c r="S17" s="11" t="s">
        <v>278</v>
      </c>
      <c r="T17" s="11" t="s">
        <v>109</v>
      </c>
      <c r="U17" s="11">
        <v>3</v>
      </c>
      <c r="V17" s="11" t="s">
        <v>84</v>
      </c>
      <c r="W17" s="11"/>
      <c r="X17" s="11" t="s">
        <v>279</v>
      </c>
      <c r="Y17" s="11" t="s">
        <v>280</v>
      </c>
      <c r="Z17" s="11" t="s">
        <v>281</v>
      </c>
      <c r="AA17" s="11" t="s">
        <v>282</v>
      </c>
      <c r="AB17" s="11" t="s">
        <v>130</v>
      </c>
      <c r="AC17" s="11" t="s">
        <v>283</v>
      </c>
      <c r="AD17" s="11" t="s">
        <v>93</v>
      </c>
      <c r="AE17" s="11"/>
      <c r="AF17" s="11"/>
      <c r="AG17" s="11"/>
      <c r="AH17" s="11"/>
      <c r="AI17" s="11" t="s">
        <v>94</v>
      </c>
      <c r="AJ17" s="11" t="s">
        <v>95</v>
      </c>
      <c r="AK17" s="11" t="s">
        <v>96</v>
      </c>
    </row>
    <row r="18" spans="1:37" ht="15" customHeight="1" x14ac:dyDescent="0.45">
      <c r="A18" s="12">
        <v>16</v>
      </c>
      <c r="B18" s="12" t="s">
        <v>284</v>
      </c>
      <c r="C18" s="12" t="s">
        <v>15</v>
      </c>
      <c r="D18" s="12" t="s">
        <v>285</v>
      </c>
      <c r="E18" s="12" t="s">
        <v>286</v>
      </c>
      <c r="F18" s="12"/>
      <c r="G18" s="12" t="s">
        <v>287</v>
      </c>
      <c r="H18" s="12"/>
      <c r="I18" s="12" t="s">
        <v>76</v>
      </c>
      <c r="J18" s="12"/>
      <c r="K18" s="12"/>
      <c r="L18" s="12"/>
      <c r="M18" s="12"/>
      <c r="N18" s="12"/>
      <c r="O18" s="12"/>
      <c r="P18" s="12"/>
      <c r="Q18" s="12"/>
      <c r="R18" s="12"/>
      <c r="S18" s="12"/>
      <c r="T18" s="12"/>
      <c r="U18" s="12"/>
      <c r="V18" s="12"/>
      <c r="W18" s="12"/>
      <c r="X18" s="12"/>
      <c r="Y18" s="12" t="s">
        <v>288</v>
      </c>
      <c r="Z18" s="12"/>
      <c r="AA18" s="12"/>
      <c r="AB18" s="12"/>
      <c r="AC18" s="12"/>
      <c r="AD18" s="12"/>
      <c r="AE18" s="12"/>
      <c r="AF18" s="12"/>
      <c r="AG18" s="12"/>
      <c r="AH18" s="12"/>
      <c r="AI18" s="12"/>
      <c r="AJ18" s="12" t="s">
        <v>95</v>
      </c>
      <c r="AK18" s="12" t="s">
        <v>217</v>
      </c>
    </row>
    <row r="19" spans="1:37" ht="15" customHeight="1" x14ac:dyDescent="0.45">
      <c r="A19" s="12">
        <v>17</v>
      </c>
      <c r="B19" s="12" t="s">
        <v>289</v>
      </c>
      <c r="C19" s="12" t="s">
        <v>15</v>
      </c>
      <c r="D19" s="12" t="s">
        <v>290</v>
      </c>
      <c r="E19" s="12" t="s">
        <v>291</v>
      </c>
      <c r="F19" s="12"/>
      <c r="G19" s="12" t="s">
        <v>292</v>
      </c>
      <c r="H19" s="12"/>
      <c r="I19" s="12" t="s">
        <v>76</v>
      </c>
      <c r="J19" s="12"/>
      <c r="K19" s="12"/>
      <c r="L19" s="12"/>
      <c r="M19" s="12"/>
      <c r="N19" s="12"/>
      <c r="O19" s="12"/>
      <c r="P19" s="12"/>
      <c r="Q19" s="12"/>
      <c r="R19" s="12"/>
      <c r="S19" s="12"/>
      <c r="T19" s="12"/>
      <c r="U19" s="12"/>
      <c r="V19" s="12"/>
      <c r="W19" s="12"/>
      <c r="X19" s="12"/>
      <c r="Y19" s="12" t="s">
        <v>293</v>
      </c>
      <c r="Z19" s="12"/>
      <c r="AA19" s="12"/>
      <c r="AB19" s="12"/>
      <c r="AC19" s="12"/>
      <c r="AD19" s="12"/>
      <c r="AE19" s="12"/>
      <c r="AF19" s="12"/>
      <c r="AG19" s="12"/>
      <c r="AH19" s="12"/>
      <c r="AI19" s="12"/>
      <c r="AJ19" s="12" t="s">
        <v>95</v>
      </c>
      <c r="AK19" s="12" t="s">
        <v>217</v>
      </c>
    </row>
    <row r="20" spans="1:37" ht="68.25" customHeight="1" x14ac:dyDescent="0.45">
      <c r="A20" s="10">
        <v>18</v>
      </c>
      <c r="B20" s="10" t="s">
        <v>294</v>
      </c>
      <c r="C20" s="10" t="s">
        <v>15</v>
      </c>
      <c r="D20" s="10" t="s">
        <v>295</v>
      </c>
      <c r="E20" s="10" t="s">
        <v>199</v>
      </c>
      <c r="F20" s="10" t="s">
        <v>18</v>
      </c>
      <c r="G20" s="10" t="s">
        <v>296</v>
      </c>
      <c r="H20" s="11" t="s">
        <v>297</v>
      </c>
      <c r="I20" s="11" t="s">
        <v>76</v>
      </c>
      <c r="J20" s="11" t="s">
        <v>298</v>
      </c>
      <c r="K20" s="11" t="s">
        <v>299</v>
      </c>
      <c r="L20" s="11" t="s">
        <v>300</v>
      </c>
      <c r="M20" s="11" t="s">
        <v>301</v>
      </c>
      <c r="N20" s="11" t="s">
        <v>81</v>
      </c>
      <c r="O20" s="11" t="s">
        <v>141</v>
      </c>
      <c r="P20" s="11" t="s">
        <v>84</v>
      </c>
      <c r="Q20" s="11" t="s">
        <v>84</v>
      </c>
      <c r="R20" s="11" t="s">
        <v>83</v>
      </c>
      <c r="S20" s="11" t="s">
        <v>302</v>
      </c>
      <c r="T20" s="11" t="s">
        <v>86</v>
      </c>
      <c r="U20" s="11">
        <v>4</v>
      </c>
      <c r="V20" s="11" t="s">
        <v>84</v>
      </c>
      <c r="W20" s="11"/>
      <c r="X20" s="11" t="s">
        <v>303</v>
      </c>
      <c r="Y20" s="11" t="s">
        <v>304</v>
      </c>
      <c r="Z20" s="11" t="s">
        <v>305</v>
      </c>
      <c r="AA20" s="11" t="s">
        <v>306</v>
      </c>
      <c r="AB20" s="11" t="s">
        <v>307</v>
      </c>
      <c r="AC20" s="11" t="s">
        <v>308</v>
      </c>
      <c r="AD20" s="11" t="s">
        <v>93</v>
      </c>
      <c r="AE20" s="11"/>
      <c r="AF20" s="11"/>
      <c r="AG20" s="11"/>
      <c r="AH20" s="11"/>
      <c r="AI20" s="11" t="s">
        <v>94</v>
      </c>
      <c r="AJ20" s="11" t="s">
        <v>95</v>
      </c>
      <c r="AK20" s="11" t="s">
        <v>96</v>
      </c>
    </row>
    <row r="21" spans="1:37" ht="68.25" customHeight="1" x14ac:dyDescent="0.45">
      <c r="A21" s="10">
        <v>19</v>
      </c>
      <c r="B21" s="10" t="s">
        <v>309</v>
      </c>
      <c r="C21" s="10" t="s">
        <v>15</v>
      </c>
      <c r="D21" s="10" t="s">
        <v>310</v>
      </c>
      <c r="E21" s="10" t="s">
        <v>311</v>
      </c>
      <c r="F21" s="10" t="s">
        <v>16</v>
      </c>
      <c r="G21" s="10" t="s">
        <v>312</v>
      </c>
      <c r="H21" s="11" t="s">
        <v>313</v>
      </c>
      <c r="I21" s="11" t="s">
        <v>101</v>
      </c>
      <c r="J21" s="11" t="s">
        <v>314</v>
      </c>
      <c r="K21" s="11" t="s">
        <v>315</v>
      </c>
      <c r="L21" s="11" t="s">
        <v>316</v>
      </c>
      <c r="M21" s="11" t="s">
        <v>317</v>
      </c>
      <c r="N21" s="11" t="s">
        <v>106</v>
      </c>
      <c r="O21" s="11" t="s">
        <v>318</v>
      </c>
      <c r="P21" s="11" t="s">
        <v>83</v>
      </c>
      <c r="Q21" s="11" t="s">
        <v>83</v>
      </c>
      <c r="R21" s="11" t="s">
        <v>83</v>
      </c>
      <c r="S21" s="11" t="s">
        <v>319</v>
      </c>
      <c r="T21" s="11" t="s">
        <v>109</v>
      </c>
      <c r="U21" s="11">
        <v>4</v>
      </c>
      <c r="V21" s="11" t="s">
        <v>83</v>
      </c>
      <c r="W21" s="11"/>
      <c r="X21" s="11" t="s">
        <v>320</v>
      </c>
      <c r="Y21" s="11" t="s">
        <v>321</v>
      </c>
      <c r="Z21" s="11" t="s">
        <v>322</v>
      </c>
      <c r="AA21" s="11" t="s">
        <v>323</v>
      </c>
      <c r="AB21" s="11" t="s">
        <v>324</v>
      </c>
      <c r="AC21" s="11" t="s">
        <v>310</v>
      </c>
      <c r="AD21" s="11" t="s">
        <v>93</v>
      </c>
      <c r="AE21" s="11"/>
      <c r="AF21" s="11"/>
      <c r="AG21" s="11"/>
      <c r="AH21" s="11"/>
      <c r="AI21" s="11" t="s">
        <v>94</v>
      </c>
      <c r="AJ21" s="11" t="s">
        <v>95</v>
      </c>
      <c r="AK21" s="11" t="s">
        <v>96</v>
      </c>
    </row>
    <row r="22" spans="1:37" ht="68.25" customHeight="1" x14ac:dyDescent="0.45">
      <c r="A22" s="10">
        <v>20</v>
      </c>
      <c r="B22" s="10" t="s">
        <v>325</v>
      </c>
      <c r="C22" s="10" t="s">
        <v>17</v>
      </c>
      <c r="D22" s="10" t="s">
        <v>326</v>
      </c>
      <c r="E22" s="10" t="s">
        <v>134</v>
      </c>
      <c r="F22" s="10" t="s">
        <v>20</v>
      </c>
      <c r="G22" s="10" t="s">
        <v>327</v>
      </c>
      <c r="H22" s="11" t="s">
        <v>328</v>
      </c>
      <c r="I22" s="11" t="s">
        <v>76</v>
      </c>
      <c r="J22" s="11" t="s">
        <v>329</v>
      </c>
      <c r="K22" s="11" t="s">
        <v>330</v>
      </c>
      <c r="L22" s="11" t="s">
        <v>331</v>
      </c>
      <c r="M22" s="11" t="s">
        <v>332</v>
      </c>
      <c r="N22" s="11" t="s">
        <v>81</v>
      </c>
      <c r="O22" s="11" t="s">
        <v>206</v>
      </c>
      <c r="P22" s="11" t="s">
        <v>84</v>
      </c>
      <c r="Q22" s="11" t="s">
        <v>84</v>
      </c>
      <c r="R22" s="11" t="s">
        <v>83</v>
      </c>
      <c r="S22" s="11" t="s">
        <v>333</v>
      </c>
      <c r="T22" s="11" t="s">
        <v>190</v>
      </c>
      <c r="U22" s="11">
        <v>4</v>
      </c>
      <c r="V22" s="11" t="s">
        <v>84</v>
      </c>
      <c r="W22" s="11"/>
      <c r="X22" s="11" t="s">
        <v>334</v>
      </c>
      <c r="Y22" s="11" t="s">
        <v>335</v>
      </c>
      <c r="Z22" s="11" t="s">
        <v>145</v>
      </c>
      <c r="AA22" s="11" t="s">
        <v>336</v>
      </c>
      <c r="AB22" s="11" t="s">
        <v>337</v>
      </c>
      <c r="AC22" s="11" t="s">
        <v>338</v>
      </c>
      <c r="AD22" s="11" t="s">
        <v>93</v>
      </c>
      <c r="AE22" s="11"/>
      <c r="AF22" s="11"/>
      <c r="AG22" s="11"/>
      <c r="AH22" s="11"/>
      <c r="AI22" s="11" t="s">
        <v>94</v>
      </c>
      <c r="AJ22" s="11" t="s">
        <v>95</v>
      </c>
      <c r="AK22" s="11" t="s">
        <v>96</v>
      </c>
    </row>
    <row r="23" spans="1:37" ht="68.25" customHeight="1" x14ac:dyDescent="0.45">
      <c r="A23" s="10">
        <v>21</v>
      </c>
      <c r="B23" s="10" t="s">
        <v>339</v>
      </c>
      <c r="C23" s="10" t="s">
        <v>17</v>
      </c>
      <c r="D23" s="10" t="s">
        <v>340</v>
      </c>
      <c r="E23" s="10" t="s">
        <v>199</v>
      </c>
      <c r="F23" s="10" t="s">
        <v>20</v>
      </c>
      <c r="G23" s="10" t="s">
        <v>341</v>
      </c>
      <c r="H23" s="11" t="s">
        <v>342</v>
      </c>
      <c r="I23" s="11" t="s">
        <v>76</v>
      </c>
      <c r="J23" s="11" t="s">
        <v>343</v>
      </c>
      <c r="K23" s="11" t="s">
        <v>344</v>
      </c>
      <c r="L23" s="11" t="s">
        <v>204</v>
      </c>
      <c r="M23" s="11" t="s">
        <v>345</v>
      </c>
      <c r="N23" s="11" t="s">
        <v>81</v>
      </c>
      <c r="O23" s="11" t="s">
        <v>346</v>
      </c>
      <c r="P23" s="11" t="s">
        <v>84</v>
      </c>
      <c r="Q23" s="11" t="s">
        <v>84</v>
      </c>
      <c r="R23" s="11" t="s">
        <v>83</v>
      </c>
      <c r="S23" s="11" t="s">
        <v>347</v>
      </c>
      <c r="T23" s="11" t="s">
        <v>86</v>
      </c>
      <c r="U23" s="11">
        <v>5</v>
      </c>
      <c r="V23" s="11" t="s">
        <v>84</v>
      </c>
      <c r="W23" s="11"/>
      <c r="X23" s="11" t="s">
        <v>348</v>
      </c>
      <c r="Y23" s="11" t="s">
        <v>349</v>
      </c>
      <c r="Z23" s="11" t="s">
        <v>350</v>
      </c>
      <c r="AA23" s="11" t="s">
        <v>351</v>
      </c>
      <c r="AB23" s="11" t="s">
        <v>352</v>
      </c>
      <c r="AC23" s="11" t="s">
        <v>353</v>
      </c>
      <c r="AD23" s="11" t="s">
        <v>93</v>
      </c>
      <c r="AE23" s="11"/>
      <c r="AF23" s="11"/>
      <c r="AG23" s="11"/>
      <c r="AH23" s="11"/>
      <c r="AI23" s="11" t="s">
        <v>94</v>
      </c>
      <c r="AJ23" s="11" t="s">
        <v>95</v>
      </c>
      <c r="AK23" s="11" t="s">
        <v>96</v>
      </c>
    </row>
    <row r="24" spans="1:37" s="12" customFormat="1" ht="34.5" customHeight="1" x14ac:dyDescent="0.45">
      <c r="A24" s="12">
        <v>22</v>
      </c>
      <c r="B24" s="12" t="s">
        <v>354</v>
      </c>
      <c r="C24" s="12" t="s">
        <v>17</v>
      </c>
      <c r="D24" s="12" t="s">
        <v>355</v>
      </c>
      <c r="E24" s="12" t="s">
        <v>73</v>
      </c>
      <c r="G24" s="12" t="s">
        <v>356</v>
      </c>
      <c r="I24" s="12" t="s">
        <v>76</v>
      </c>
      <c r="Y24" s="12" t="s">
        <v>357</v>
      </c>
      <c r="AJ24" s="12" t="s">
        <v>95</v>
      </c>
      <c r="AK24" s="12" t="s">
        <v>358</v>
      </c>
    </row>
    <row r="25" spans="1:37" ht="68.25" customHeight="1" x14ac:dyDescent="0.45">
      <c r="A25" s="10">
        <v>23</v>
      </c>
      <c r="B25" s="10" t="s">
        <v>359</v>
      </c>
      <c r="C25" s="10" t="s">
        <v>17</v>
      </c>
      <c r="D25" s="10" t="s">
        <v>360</v>
      </c>
      <c r="E25" s="10" t="s">
        <v>361</v>
      </c>
      <c r="F25" s="10" t="s">
        <v>18</v>
      </c>
      <c r="G25" s="10" t="s">
        <v>362</v>
      </c>
      <c r="H25" s="11" t="s">
        <v>363</v>
      </c>
      <c r="I25" s="11" t="s">
        <v>76</v>
      </c>
      <c r="J25" s="11" t="s">
        <v>364</v>
      </c>
      <c r="K25" s="11" t="s">
        <v>365</v>
      </c>
      <c r="L25" s="11" t="s">
        <v>366</v>
      </c>
      <c r="M25" s="11" t="s">
        <v>367</v>
      </c>
      <c r="N25" s="11" t="s">
        <v>81</v>
      </c>
      <c r="O25" s="11" t="s">
        <v>141</v>
      </c>
      <c r="P25" s="11" t="s">
        <v>83</v>
      </c>
      <c r="Q25" s="11" t="s">
        <v>84</v>
      </c>
      <c r="R25" s="11" t="s">
        <v>83</v>
      </c>
      <c r="S25" s="11" t="s">
        <v>368</v>
      </c>
      <c r="T25" s="11" t="s">
        <v>190</v>
      </c>
      <c r="U25" s="11">
        <v>4</v>
      </c>
      <c r="V25" s="11" t="s">
        <v>84</v>
      </c>
      <c r="W25" s="11"/>
      <c r="X25" s="11" t="s">
        <v>369</v>
      </c>
      <c r="Y25" s="11" t="s">
        <v>370</v>
      </c>
      <c r="Z25" s="11" t="s">
        <v>371</v>
      </c>
      <c r="AA25" s="11" t="s">
        <v>372</v>
      </c>
      <c r="AB25" s="11" t="s">
        <v>114</v>
      </c>
      <c r="AC25" s="11" t="s">
        <v>373</v>
      </c>
      <c r="AD25" s="11" t="s">
        <v>93</v>
      </c>
      <c r="AE25" s="11"/>
      <c r="AF25" s="11"/>
      <c r="AG25" s="11"/>
      <c r="AH25" s="11"/>
      <c r="AI25" s="11" t="s">
        <v>94</v>
      </c>
      <c r="AJ25" s="11" t="s">
        <v>95</v>
      </c>
      <c r="AK25" s="11" t="s">
        <v>96</v>
      </c>
    </row>
    <row r="26" spans="1:37" ht="68.25" customHeight="1" x14ac:dyDescent="0.45">
      <c r="A26" s="10">
        <v>24</v>
      </c>
      <c r="B26" s="10" t="s">
        <v>374</v>
      </c>
      <c r="C26" s="10" t="s">
        <v>17</v>
      </c>
      <c r="D26" s="10" t="s">
        <v>375</v>
      </c>
      <c r="E26" s="10" t="s">
        <v>134</v>
      </c>
      <c r="F26" s="10" t="s">
        <v>18</v>
      </c>
      <c r="G26" s="10" t="s">
        <v>376</v>
      </c>
      <c r="H26" s="11" t="s">
        <v>377</v>
      </c>
      <c r="I26" s="11" t="s">
        <v>76</v>
      </c>
      <c r="J26" s="11" t="s">
        <v>378</v>
      </c>
      <c r="K26" s="11" t="s">
        <v>379</v>
      </c>
      <c r="L26" s="11" t="s">
        <v>380</v>
      </c>
      <c r="M26" s="11" t="s">
        <v>381</v>
      </c>
      <c r="N26" s="11" t="s">
        <v>81</v>
      </c>
      <c r="O26" s="11" t="s">
        <v>141</v>
      </c>
      <c r="P26" s="11" t="s">
        <v>83</v>
      </c>
      <c r="Q26" s="11" t="s">
        <v>83</v>
      </c>
      <c r="R26" s="11" t="s">
        <v>83</v>
      </c>
      <c r="S26" s="11" t="s">
        <v>382</v>
      </c>
      <c r="T26" s="11" t="s">
        <v>109</v>
      </c>
      <c r="U26" s="11">
        <v>3</v>
      </c>
      <c r="V26" s="11" t="s">
        <v>83</v>
      </c>
      <c r="W26" s="11"/>
      <c r="X26" s="11" t="s">
        <v>383</v>
      </c>
      <c r="Y26" s="11" t="s">
        <v>384</v>
      </c>
      <c r="Z26" s="11" t="s">
        <v>385</v>
      </c>
      <c r="AA26" s="11" t="s">
        <v>386</v>
      </c>
      <c r="AB26" s="11" t="s">
        <v>387</v>
      </c>
      <c r="AC26" s="11" t="s">
        <v>388</v>
      </c>
      <c r="AD26" s="11" t="s">
        <v>93</v>
      </c>
      <c r="AE26" s="11"/>
      <c r="AF26" s="11"/>
      <c r="AG26" s="11"/>
      <c r="AH26" s="11"/>
      <c r="AI26" s="11" t="s">
        <v>94</v>
      </c>
      <c r="AJ26" s="11" t="s">
        <v>95</v>
      </c>
      <c r="AK26" s="11" t="s">
        <v>96</v>
      </c>
    </row>
    <row r="27" spans="1:37" ht="68.25" customHeight="1" x14ac:dyDescent="0.45">
      <c r="A27" s="10">
        <v>25</v>
      </c>
      <c r="B27" s="10" t="s">
        <v>389</v>
      </c>
      <c r="C27" s="10" t="s">
        <v>17</v>
      </c>
      <c r="D27" s="10" t="s">
        <v>390</v>
      </c>
      <c r="E27" s="10" t="s">
        <v>235</v>
      </c>
      <c r="F27" s="10" t="s">
        <v>18</v>
      </c>
      <c r="G27" s="10" t="s">
        <v>391</v>
      </c>
      <c r="H27" s="11" t="s">
        <v>392</v>
      </c>
      <c r="I27" s="11" t="s">
        <v>76</v>
      </c>
      <c r="J27" s="11" t="s">
        <v>393</v>
      </c>
      <c r="K27" s="11" t="s">
        <v>394</v>
      </c>
      <c r="L27" s="11" t="s">
        <v>395</v>
      </c>
      <c r="M27" s="11" t="s">
        <v>396</v>
      </c>
      <c r="N27" s="11" t="s">
        <v>81</v>
      </c>
      <c r="O27" s="11" t="s">
        <v>141</v>
      </c>
      <c r="P27" s="11" t="s">
        <v>83</v>
      </c>
      <c r="Q27" s="11" t="s">
        <v>84</v>
      </c>
      <c r="R27" s="11" t="s">
        <v>83</v>
      </c>
      <c r="S27" s="11" t="s">
        <v>397</v>
      </c>
      <c r="T27" s="11" t="s">
        <v>86</v>
      </c>
      <c r="U27" s="11">
        <v>4</v>
      </c>
      <c r="V27" s="11" t="s">
        <v>84</v>
      </c>
      <c r="W27" s="11"/>
      <c r="X27" s="11" t="s">
        <v>398</v>
      </c>
      <c r="Y27" s="11" t="s">
        <v>399</v>
      </c>
      <c r="Z27" s="11" t="s">
        <v>400</v>
      </c>
      <c r="AA27" s="11" t="s">
        <v>401</v>
      </c>
      <c r="AB27" s="11" t="s">
        <v>147</v>
      </c>
      <c r="AC27" s="11" t="s">
        <v>402</v>
      </c>
      <c r="AD27" s="11" t="s">
        <v>93</v>
      </c>
      <c r="AE27" s="11"/>
      <c r="AF27" s="11"/>
      <c r="AG27" s="11"/>
      <c r="AH27" s="11"/>
      <c r="AI27" s="11" t="s">
        <v>94</v>
      </c>
      <c r="AJ27" s="11" t="s">
        <v>95</v>
      </c>
      <c r="AK27" s="11" t="s">
        <v>96</v>
      </c>
    </row>
    <row r="28" spans="1:37" ht="15" customHeight="1" x14ac:dyDescent="0.45">
      <c r="A28" s="12">
        <v>26</v>
      </c>
      <c r="B28" s="12" t="s">
        <v>403</v>
      </c>
      <c r="C28" s="12" t="s">
        <v>17</v>
      </c>
      <c r="D28" s="12" t="s">
        <v>404</v>
      </c>
      <c r="E28" s="12" t="s">
        <v>291</v>
      </c>
      <c r="F28" s="12"/>
      <c r="G28" s="12" t="s">
        <v>405</v>
      </c>
      <c r="H28" s="12"/>
      <c r="I28" s="12" t="s">
        <v>76</v>
      </c>
      <c r="J28" s="12"/>
      <c r="K28" s="12"/>
      <c r="L28" s="12"/>
      <c r="M28" s="12"/>
      <c r="N28" s="12"/>
      <c r="O28" s="12"/>
      <c r="P28" s="12"/>
      <c r="Q28" s="12"/>
      <c r="R28" s="12"/>
      <c r="S28" s="12"/>
      <c r="T28" s="12"/>
      <c r="U28" s="12"/>
      <c r="V28" s="12"/>
      <c r="W28" s="12"/>
      <c r="X28" s="12"/>
      <c r="Y28" s="12" t="s">
        <v>293</v>
      </c>
      <c r="Z28" s="12"/>
      <c r="AA28" s="12"/>
      <c r="AB28" s="12"/>
      <c r="AC28" s="12"/>
      <c r="AD28" s="12"/>
      <c r="AE28" s="12"/>
      <c r="AF28" s="12"/>
      <c r="AG28" s="12"/>
      <c r="AH28" s="12"/>
      <c r="AI28" s="12"/>
      <c r="AJ28" s="12" t="s">
        <v>95</v>
      </c>
      <c r="AK28" s="12" t="s">
        <v>217</v>
      </c>
    </row>
    <row r="29" spans="1:37" ht="68.25" customHeight="1" x14ac:dyDescent="0.45">
      <c r="A29" s="10">
        <v>27</v>
      </c>
      <c r="B29" s="10" t="s">
        <v>406</v>
      </c>
      <c r="C29" s="10" t="s">
        <v>17</v>
      </c>
      <c r="D29" s="10" t="s">
        <v>407</v>
      </c>
      <c r="E29" s="10" t="s">
        <v>408</v>
      </c>
      <c r="F29" s="10" t="s">
        <v>16</v>
      </c>
      <c r="G29" s="10" t="s">
        <v>409</v>
      </c>
      <c r="H29" s="11" t="s">
        <v>410</v>
      </c>
      <c r="I29" s="11" t="s">
        <v>76</v>
      </c>
      <c r="J29" s="11" t="s">
        <v>411</v>
      </c>
      <c r="K29" s="11" t="s">
        <v>412</v>
      </c>
      <c r="L29" s="11" t="s">
        <v>413</v>
      </c>
      <c r="M29" s="11" t="s">
        <v>414</v>
      </c>
      <c r="N29" s="11" t="s">
        <v>81</v>
      </c>
      <c r="O29" s="11" t="s">
        <v>141</v>
      </c>
      <c r="P29" s="11" t="s">
        <v>83</v>
      </c>
      <c r="Q29" s="11" t="s">
        <v>83</v>
      </c>
      <c r="R29" s="11" t="s">
        <v>83</v>
      </c>
      <c r="S29" s="11" t="s">
        <v>415</v>
      </c>
      <c r="T29" s="11" t="s">
        <v>109</v>
      </c>
      <c r="U29" s="11">
        <v>3</v>
      </c>
      <c r="V29" s="11" t="s">
        <v>83</v>
      </c>
      <c r="W29" s="11"/>
      <c r="X29" s="11" t="s">
        <v>416</v>
      </c>
      <c r="Y29" s="11" t="s">
        <v>417</v>
      </c>
      <c r="Z29" s="11" t="s">
        <v>418</v>
      </c>
      <c r="AA29" s="11" t="s">
        <v>419</v>
      </c>
      <c r="AB29" s="11" t="s">
        <v>324</v>
      </c>
      <c r="AC29" s="11" t="s">
        <v>420</v>
      </c>
      <c r="AD29" s="11" t="s">
        <v>93</v>
      </c>
      <c r="AE29" s="11"/>
      <c r="AF29" s="11"/>
      <c r="AG29" s="11"/>
      <c r="AH29" s="11"/>
      <c r="AI29" s="11" t="s">
        <v>94</v>
      </c>
      <c r="AJ29" s="11" t="s">
        <v>95</v>
      </c>
      <c r="AK29" s="11" t="s">
        <v>96</v>
      </c>
    </row>
    <row r="30" spans="1:37" s="12" customFormat="1" ht="23.25" customHeight="1" x14ac:dyDescent="0.45">
      <c r="A30" s="12">
        <v>28</v>
      </c>
      <c r="B30" s="12" t="s">
        <v>421</v>
      </c>
      <c r="C30" s="12" t="s">
        <v>17</v>
      </c>
      <c r="D30" s="12" t="s">
        <v>422</v>
      </c>
      <c r="E30" s="12" t="s">
        <v>423</v>
      </c>
      <c r="G30" s="12" t="s">
        <v>424</v>
      </c>
      <c r="I30" s="12" t="s">
        <v>101</v>
      </c>
      <c r="Y30" s="12" t="s">
        <v>425</v>
      </c>
      <c r="AJ30" s="12" t="s">
        <v>95</v>
      </c>
      <c r="AK30" s="12" t="s">
        <v>358</v>
      </c>
    </row>
    <row r="31" spans="1:37" ht="68.25" customHeight="1" x14ac:dyDescent="0.45">
      <c r="A31" s="10">
        <v>29</v>
      </c>
      <c r="B31" s="10" t="s">
        <v>426</v>
      </c>
      <c r="C31" s="10" t="s">
        <v>19</v>
      </c>
      <c r="D31" s="10" t="s">
        <v>427</v>
      </c>
      <c r="E31" s="10" t="s">
        <v>428</v>
      </c>
      <c r="F31" s="10" t="s">
        <v>16</v>
      </c>
      <c r="G31" s="10" t="s">
        <v>429</v>
      </c>
      <c r="H31" s="11" t="s">
        <v>430</v>
      </c>
      <c r="I31" s="11" t="s">
        <v>76</v>
      </c>
      <c r="J31" s="11" t="s">
        <v>431</v>
      </c>
      <c r="K31" s="11" t="s">
        <v>432</v>
      </c>
      <c r="L31" s="11" t="s">
        <v>433</v>
      </c>
      <c r="M31" s="11" t="s">
        <v>434</v>
      </c>
      <c r="N31" s="11" t="s">
        <v>81</v>
      </c>
      <c r="O31" s="11" t="s">
        <v>141</v>
      </c>
      <c r="P31" s="11" t="s">
        <v>83</v>
      </c>
      <c r="Q31" s="11" t="s">
        <v>83</v>
      </c>
      <c r="R31" s="11" t="s">
        <v>83</v>
      </c>
      <c r="S31" s="11" t="s">
        <v>435</v>
      </c>
      <c r="T31" s="11" t="s">
        <v>109</v>
      </c>
      <c r="U31" s="11">
        <v>4</v>
      </c>
      <c r="V31" s="11" t="s">
        <v>83</v>
      </c>
      <c r="W31" s="11"/>
      <c r="X31" s="11" t="s">
        <v>87</v>
      </c>
      <c r="Y31" s="11" t="s">
        <v>436</v>
      </c>
      <c r="Z31" s="11" t="s">
        <v>437</v>
      </c>
      <c r="AA31" s="11" t="s">
        <v>438</v>
      </c>
      <c r="AB31" s="11" t="s">
        <v>439</v>
      </c>
      <c r="AC31" s="11" t="s">
        <v>427</v>
      </c>
      <c r="AD31" s="11" t="s">
        <v>93</v>
      </c>
      <c r="AE31" s="11"/>
      <c r="AF31" s="11"/>
      <c r="AG31" s="11"/>
      <c r="AH31" s="11"/>
      <c r="AI31" s="11" t="s">
        <v>94</v>
      </c>
      <c r="AJ31" s="11" t="s">
        <v>95</v>
      </c>
      <c r="AK31" s="11" t="s">
        <v>96</v>
      </c>
    </row>
    <row r="32" spans="1:37" ht="79.5" customHeight="1" x14ac:dyDescent="0.45">
      <c r="A32" s="10">
        <v>30</v>
      </c>
      <c r="B32" s="10" t="s">
        <v>440</v>
      </c>
      <c r="C32" s="10" t="s">
        <v>19</v>
      </c>
      <c r="D32" s="10" t="s">
        <v>441</v>
      </c>
      <c r="E32" s="10" t="s">
        <v>265</v>
      </c>
      <c r="F32" s="10" t="s">
        <v>18</v>
      </c>
      <c r="G32" s="10" t="s">
        <v>442</v>
      </c>
      <c r="H32" s="11" t="s">
        <v>443</v>
      </c>
      <c r="I32" s="11" t="s">
        <v>76</v>
      </c>
      <c r="J32" s="11" t="s">
        <v>444</v>
      </c>
      <c r="K32" s="11" t="s">
        <v>445</v>
      </c>
      <c r="L32" s="11" t="s">
        <v>446</v>
      </c>
      <c r="M32" s="11" t="s">
        <v>447</v>
      </c>
      <c r="N32" s="11" t="s">
        <v>81</v>
      </c>
      <c r="O32" s="11" t="s">
        <v>448</v>
      </c>
      <c r="P32" s="11" t="s">
        <v>83</v>
      </c>
      <c r="Q32" s="11" t="s">
        <v>84</v>
      </c>
      <c r="R32" s="11" t="s">
        <v>83</v>
      </c>
      <c r="S32" s="11" t="s">
        <v>449</v>
      </c>
      <c r="T32" s="11" t="s">
        <v>86</v>
      </c>
      <c r="U32" s="11">
        <v>4</v>
      </c>
      <c r="V32" s="11" t="s">
        <v>84</v>
      </c>
      <c r="W32" s="11"/>
      <c r="X32" s="11" t="s">
        <v>450</v>
      </c>
      <c r="Y32" s="11" t="s">
        <v>451</v>
      </c>
      <c r="Z32" s="11" t="s">
        <v>452</v>
      </c>
      <c r="AA32" s="11" t="s">
        <v>453</v>
      </c>
      <c r="AB32" s="11" t="s">
        <v>147</v>
      </c>
      <c r="AC32" s="11" t="s">
        <v>454</v>
      </c>
      <c r="AD32" s="11" t="s">
        <v>93</v>
      </c>
      <c r="AE32" s="11"/>
      <c r="AF32" s="11"/>
      <c r="AG32" s="11"/>
      <c r="AH32" s="11"/>
      <c r="AI32" s="11" t="s">
        <v>94</v>
      </c>
      <c r="AJ32" s="11" t="s">
        <v>95</v>
      </c>
      <c r="AK32" s="11" t="s">
        <v>96</v>
      </c>
    </row>
    <row r="33" spans="1:37" ht="23.25" customHeight="1" x14ac:dyDescent="0.45">
      <c r="A33" s="12">
        <v>31</v>
      </c>
      <c r="B33" s="12" t="s">
        <v>455</v>
      </c>
      <c r="C33" s="12" t="s">
        <v>19</v>
      </c>
      <c r="D33" s="12" t="s">
        <v>456</v>
      </c>
      <c r="E33" s="12" t="s">
        <v>265</v>
      </c>
      <c r="F33" s="12"/>
      <c r="G33" s="12" t="s">
        <v>457</v>
      </c>
      <c r="H33" s="12"/>
      <c r="I33" s="12" t="s">
        <v>76</v>
      </c>
      <c r="J33" s="12"/>
      <c r="K33" s="12"/>
      <c r="L33" s="12"/>
      <c r="M33" s="12"/>
      <c r="N33" s="12"/>
      <c r="O33" s="12"/>
      <c r="P33" s="12"/>
      <c r="Q33" s="12"/>
      <c r="R33" s="12"/>
      <c r="S33" s="12"/>
      <c r="T33" s="12"/>
      <c r="U33" s="12"/>
      <c r="V33" s="12"/>
      <c r="W33" s="12"/>
      <c r="X33" s="12"/>
      <c r="Y33" s="12" t="s">
        <v>458</v>
      </c>
      <c r="Z33" s="12"/>
      <c r="AA33" s="12"/>
      <c r="AB33" s="12"/>
      <c r="AC33" s="12"/>
      <c r="AD33" s="12"/>
      <c r="AE33" s="12"/>
      <c r="AF33" s="12"/>
      <c r="AG33" s="12"/>
      <c r="AH33" s="12"/>
      <c r="AI33" s="12"/>
      <c r="AJ33" s="12" t="s">
        <v>95</v>
      </c>
      <c r="AK33" s="12" t="s">
        <v>217</v>
      </c>
    </row>
    <row r="34" spans="1:37" ht="68.25" customHeight="1" x14ac:dyDescent="0.45">
      <c r="A34" s="10">
        <v>32</v>
      </c>
      <c r="B34" s="10" t="s">
        <v>459</v>
      </c>
      <c r="C34" s="10" t="s">
        <v>19</v>
      </c>
      <c r="D34" s="10" t="s">
        <v>460</v>
      </c>
      <c r="E34" s="10" t="s">
        <v>235</v>
      </c>
      <c r="F34" s="10" t="s">
        <v>18</v>
      </c>
      <c r="G34" s="10" t="s">
        <v>461</v>
      </c>
      <c r="H34" s="11" t="s">
        <v>462</v>
      </c>
      <c r="I34" s="11" t="s">
        <v>76</v>
      </c>
      <c r="J34" s="11" t="s">
        <v>463</v>
      </c>
      <c r="K34" s="11" t="s">
        <v>464</v>
      </c>
      <c r="L34" s="11" t="s">
        <v>465</v>
      </c>
      <c r="M34" s="11" t="s">
        <v>466</v>
      </c>
      <c r="N34" s="11" t="s">
        <v>81</v>
      </c>
      <c r="O34" s="11" t="s">
        <v>141</v>
      </c>
      <c r="P34" s="11" t="s">
        <v>83</v>
      </c>
      <c r="Q34" s="11" t="s">
        <v>84</v>
      </c>
      <c r="R34" s="11" t="s">
        <v>83</v>
      </c>
      <c r="S34" s="11" t="s">
        <v>467</v>
      </c>
      <c r="T34" s="11" t="s">
        <v>109</v>
      </c>
      <c r="U34" s="11">
        <v>4</v>
      </c>
      <c r="V34" s="11" t="s">
        <v>83</v>
      </c>
      <c r="W34" s="11"/>
      <c r="X34" s="11" t="s">
        <v>468</v>
      </c>
      <c r="Y34" s="11" t="s">
        <v>469</v>
      </c>
      <c r="Z34" s="11" t="s">
        <v>470</v>
      </c>
      <c r="AA34" s="11" t="s">
        <v>471</v>
      </c>
      <c r="AB34" s="11" t="s">
        <v>387</v>
      </c>
      <c r="AC34" s="11" t="s">
        <v>472</v>
      </c>
      <c r="AD34" s="11" t="s">
        <v>93</v>
      </c>
      <c r="AE34" s="11"/>
      <c r="AF34" s="11"/>
      <c r="AG34" s="11"/>
      <c r="AH34" s="11"/>
      <c r="AI34" s="11" t="s">
        <v>94</v>
      </c>
      <c r="AJ34" s="11" t="s">
        <v>95</v>
      </c>
      <c r="AK34" s="11" t="s">
        <v>96</v>
      </c>
    </row>
    <row r="35" spans="1:37" ht="23.25" customHeight="1" x14ac:dyDescent="0.45">
      <c r="A35" s="12">
        <v>33</v>
      </c>
      <c r="B35" s="12" t="s">
        <v>473</v>
      </c>
      <c r="C35" s="12" t="s">
        <v>19</v>
      </c>
      <c r="D35" s="12" t="s">
        <v>474</v>
      </c>
      <c r="E35" s="12" t="s">
        <v>235</v>
      </c>
      <c r="F35" s="12"/>
      <c r="G35" s="12" t="s">
        <v>475</v>
      </c>
      <c r="H35" s="12"/>
      <c r="I35" s="12" t="s">
        <v>76</v>
      </c>
      <c r="J35" s="12"/>
      <c r="K35" s="12"/>
      <c r="L35" s="12"/>
      <c r="M35" s="12"/>
      <c r="N35" s="12"/>
      <c r="O35" s="12"/>
      <c r="P35" s="12"/>
      <c r="Q35" s="12"/>
      <c r="R35" s="12"/>
      <c r="S35" s="12"/>
      <c r="T35" s="12"/>
      <c r="U35" s="12"/>
      <c r="V35" s="12"/>
      <c r="W35" s="12"/>
      <c r="X35" s="12"/>
      <c r="Y35" s="12" t="s">
        <v>476</v>
      </c>
      <c r="Z35" s="12"/>
      <c r="AA35" s="12"/>
      <c r="AB35" s="12"/>
      <c r="AC35" s="12"/>
      <c r="AD35" s="12"/>
      <c r="AE35" s="12"/>
      <c r="AF35" s="12"/>
      <c r="AG35" s="12"/>
      <c r="AH35" s="12"/>
      <c r="AI35" s="12"/>
      <c r="AJ35" s="12" t="s">
        <v>95</v>
      </c>
      <c r="AK35" s="12" t="s">
        <v>217</v>
      </c>
    </row>
    <row r="36" spans="1:37" ht="68.25" customHeight="1" x14ac:dyDescent="0.45">
      <c r="A36" s="10">
        <v>34</v>
      </c>
      <c r="B36" s="10" t="s">
        <v>477</v>
      </c>
      <c r="C36" s="10" t="s">
        <v>19</v>
      </c>
      <c r="D36" s="10" t="s">
        <v>478</v>
      </c>
      <c r="E36" s="10" t="s">
        <v>479</v>
      </c>
      <c r="F36" s="10" t="s">
        <v>14</v>
      </c>
      <c r="G36" s="10" t="s">
        <v>287</v>
      </c>
      <c r="H36" s="11" t="s">
        <v>480</v>
      </c>
      <c r="I36" s="11" t="s">
        <v>76</v>
      </c>
      <c r="J36" s="11" t="s">
        <v>481</v>
      </c>
      <c r="K36" s="11" t="s">
        <v>482</v>
      </c>
      <c r="L36" s="11" t="s">
        <v>483</v>
      </c>
      <c r="M36" s="11" t="s">
        <v>484</v>
      </c>
      <c r="N36" s="11" t="s">
        <v>485</v>
      </c>
      <c r="O36" s="11" t="s">
        <v>486</v>
      </c>
      <c r="P36" s="11" t="s">
        <v>83</v>
      </c>
      <c r="Q36" s="11" t="s">
        <v>84</v>
      </c>
      <c r="R36" s="11" t="s">
        <v>84</v>
      </c>
      <c r="S36" s="11" t="s">
        <v>487</v>
      </c>
      <c r="T36" s="11" t="s">
        <v>86</v>
      </c>
      <c r="U36" s="11">
        <v>2</v>
      </c>
      <c r="V36" s="11" t="s">
        <v>83</v>
      </c>
      <c r="W36" s="11"/>
      <c r="X36" s="11" t="s">
        <v>488</v>
      </c>
      <c r="Y36" s="11" t="s">
        <v>489</v>
      </c>
      <c r="Z36" s="11" t="s">
        <v>490</v>
      </c>
      <c r="AA36" s="11" t="s">
        <v>491</v>
      </c>
      <c r="AB36" s="11" t="s">
        <v>492</v>
      </c>
      <c r="AC36" s="11" t="s">
        <v>493</v>
      </c>
      <c r="AD36" s="11" t="s">
        <v>93</v>
      </c>
      <c r="AE36" s="11"/>
      <c r="AF36" s="11"/>
      <c r="AG36" s="11"/>
      <c r="AH36" s="11"/>
      <c r="AI36" s="11" t="s">
        <v>94</v>
      </c>
      <c r="AJ36" s="11" t="s">
        <v>95</v>
      </c>
      <c r="AK36" s="11" t="s">
        <v>96</v>
      </c>
    </row>
    <row r="37" spans="1:37" s="12" customFormat="1" ht="23.25" customHeight="1" x14ac:dyDescent="0.45">
      <c r="A37" s="12">
        <v>35</v>
      </c>
      <c r="B37" s="12" t="s">
        <v>494</v>
      </c>
      <c r="C37" s="12" t="s">
        <v>19</v>
      </c>
      <c r="D37" s="12" t="s">
        <v>495</v>
      </c>
      <c r="E37" s="12" t="s">
        <v>73</v>
      </c>
      <c r="G37" s="12" t="s">
        <v>496</v>
      </c>
      <c r="I37" s="12" t="s">
        <v>76</v>
      </c>
      <c r="Y37" s="12" t="s">
        <v>497</v>
      </c>
      <c r="AJ37" s="12" t="s">
        <v>95</v>
      </c>
      <c r="AK37" s="12" t="s">
        <v>358</v>
      </c>
    </row>
    <row r="38" spans="1:37" ht="68.25" customHeight="1" x14ac:dyDescent="0.45">
      <c r="A38" s="10">
        <v>36</v>
      </c>
      <c r="B38" s="10" t="s">
        <v>498</v>
      </c>
      <c r="C38" s="10" t="s">
        <v>19</v>
      </c>
      <c r="D38" s="10" t="s">
        <v>499</v>
      </c>
      <c r="E38" s="10" t="s">
        <v>270</v>
      </c>
      <c r="F38" s="10" t="s">
        <v>16</v>
      </c>
      <c r="G38" s="10" t="s">
        <v>500</v>
      </c>
      <c r="H38" s="11" t="s">
        <v>501</v>
      </c>
      <c r="I38" s="11" t="s">
        <v>76</v>
      </c>
      <c r="J38" s="11" t="s">
        <v>502</v>
      </c>
      <c r="K38" s="11" t="s">
        <v>503</v>
      </c>
      <c r="L38" s="11" t="s">
        <v>504</v>
      </c>
      <c r="M38" s="11" t="s">
        <v>505</v>
      </c>
      <c r="N38" s="11" t="s">
        <v>106</v>
      </c>
      <c r="O38" s="11" t="s">
        <v>506</v>
      </c>
      <c r="P38" s="11" t="s">
        <v>83</v>
      </c>
      <c r="Q38" s="11" t="s">
        <v>83</v>
      </c>
      <c r="R38" s="11" t="s">
        <v>83</v>
      </c>
      <c r="S38" s="11" t="s">
        <v>507</v>
      </c>
      <c r="T38" s="11" t="s">
        <v>109</v>
      </c>
      <c r="U38" s="11">
        <v>3</v>
      </c>
      <c r="V38" s="11" t="s">
        <v>83</v>
      </c>
      <c r="W38" s="11"/>
      <c r="X38" s="11" t="s">
        <v>508</v>
      </c>
      <c r="Y38" s="11" t="s">
        <v>509</v>
      </c>
      <c r="Z38" s="11" t="s">
        <v>510</v>
      </c>
      <c r="AA38" s="11" t="s">
        <v>511</v>
      </c>
      <c r="AB38" s="11" t="s">
        <v>512</v>
      </c>
      <c r="AC38" s="11" t="s">
        <v>513</v>
      </c>
      <c r="AD38" s="11" t="s">
        <v>93</v>
      </c>
      <c r="AE38" s="11"/>
      <c r="AF38" s="11"/>
      <c r="AG38" s="11"/>
      <c r="AH38" s="11"/>
      <c r="AI38" s="11" t="s">
        <v>94</v>
      </c>
      <c r="AJ38" s="11" t="s">
        <v>95</v>
      </c>
      <c r="AK38" s="11" t="s">
        <v>96</v>
      </c>
    </row>
    <row r="39" spans="1:37" s="12" customFormat="1" ht="23.25" customHeight="1" x14ac:dyDescent="0.45">
      <c r="A39" s="12">
        <v>37</v>
      </c>
      <c r="B39" s="12" t="s">
        <v>514</v>
      </c>
      <c r="C39" s="12" t="s">
        <v>19</v>
      </c>
      <c r="D39" s="12" t="s">
        <v>515</v>
      </c>
      <c r="E39" s="12" t="s">
        <v>73</v>
      </c>
      <c r="G39" s="12" t="s">
        <v>166</v>
      </c>
      <c r="I39" s="12" t="s">
        <v>76</v>
      </c>
      <c r="Y39" s="12" t="s">
        <v>516</v>
      </c>
      <c r="AJ39" s="12" t="s">
        <v>95</v>
      </c>
      <c r="AK39" s="12" t="s">
        <v>358</v>
      </c>
    </row>
    <row r="40" spans="1:37" ht="15" customHeight="1" x14ac:dyDescent="0.45">
      <c r="A40" s="12">
        <v>38</v>
      </c>
      <c r="B40" s="12" t="s">
        <v>517</v>
      </c>
      <c r="C40" s="12" t="s">
        <v>19</v>
      </c>
      <c r="D40" s="12" t="s">
        <v>518</v>
      </c>
      <c r="E40" s="12" t="s">
        <v>151</v>
      </c>
      <c r="F40" s="12"/>
      <c r="G40" s="12" t="s">
        <v>519</v>
      </c>
      <c r="H40" s="12"/>
      <c r="I40" s="12" t="s">
        <v>76</v>
      </c>
      <c r="J40" s="12"/>
      <c r="K40" s="12"/>
      <c r="L40" s="12"/>
      <c r="M40" s="12"/>
      <c r="N40" s="12"/>
      <c r="O40" s="12"/>
      <c r="P40" s="12"/>
      <c r="Q40" s="12"/>
      <c r="R40" s="12"/>
      <c r="S40" s="12"/>
      <c r="T40" s="12"/>
      <c r="U40" s="12"/>
      <c r="V40" s="12"/>
      <c r="W40" s="12"/>
      <c r="X40" s="12"/>
      <c r="Y40" s="12" t="s">
        <v>520</v>
      </c>
      <c r="Z40" s="12"/>
      <c r="AA40" s="12"/>
      <c r="AB40" s="12"/>
      <c r="AC40" s="12"/>
      <c r="AD40" s="12"/>
      <c r="AE40" s="12"/>
      <c r="AF40" s="12"/>
      <c r="AG40" s="12"/>
      <c r="AH40" s="12"/>
      <c r="AI40" s="12"/>
      <c r="AJ40" s="12" t="s">
        <v>95</v>
      </c>
      <c r="AK40" s="12" t="s">
        <v>217</v>
      </c>
    </row>
    <row r="41" spans="1:37" ht="68.25" customHeight="1" x14ac:dyDescent="0.45">
      <c r="A41" s="10">
        <v>39</v>
      </c>
      <c r="B41" s="10" t="s">
        <v>521</v>
      </c>
      <c r="C41" s="10" t="s">
        <v>21</v>
      </c>
      <c r="D41" s="10" t="s">
        <v>522</v>
      </c>
      <c r="E41" s="10" t="s">
        <v>199</v>
      </c>
      <c r="F41" s="10" t="s">
        <v>20</v>
      </c>
      <c r="G41" s="10" t="s">
        <v>523</v>
      </c>
      <c r="H41" s="11" t="s">
        <v>524</v>
      </c>
      <c r="I41" s="11" t="s">
        <v>76</v>
      </c>
      <c r="J41" s="11" t="s">
        <v>525</v>
      </c>
      <c r="K41" s="11" t="s">
        <v>526</v>
      </c>
      <c r="L41" s="11" t="s">
        <v>204</v>
      </c>
      <c r="M41" s="11" t="s">
        <v>527</v>
      </c>
      <c r="N41" s="11" t="s">
        <v>81</v>
      </c>
      <c r="O41" s="11" t="s">
        <v>141</v>
      </c>
      <c r="P41" s="11" t="s">
        <v>83</v>
      </c>
      <c r="Q41" s="11" t="s">
        <v>84</v>
      </c>
      <c r="R41" s="11" t="s">
        <v>83</v>
      </c>
      <c r="S41" s="11" t="s">
        <v>528</v>
      </c>
      <c r="T41" s="11" t="s">
        <v>86</v>
      </c>
      <c r="U41" s="11">
        <v>4</v>
      </c>
      <c r="V41" s="11" t="s">
        <v>84</v>
      </c>
      <c r="W41" s="11"/>
      <c r="X41" s="11" t="s">
        <v>159</v>
      </c>
      <c r="Y41" s="11" t="s">
        <v>529</v>
      </c>
      <c r="Z41" s="11" t="s">
        <v>530</v>
      </c>
      <c r="AA41" s="11" t="s">
        <v>531</v>
      </c>
      <c r="AB41" s="11" t="s">
        <v>532</v>
      </c>
      <c r="AC41" s="11" t="s">
        <v>533</v>
      </c>
      <c r="AD41" s="11" t="s">
        <v>93</v>
      </c>
      <c r="AE41" s="11"/>
      <c r="AF41" s="11"/>
      <c r="AG41" s="11"/>
      <c r="AH41" s="11"/>
      <c r="AI41" s="11" t="s">
        <v>94</v>
      </c>
      <c r="AJ41" s="11" t="s">
        <v>95</v>
      </c>
      <c r="AK41" s="11" t="s">
        <v>96</v>
      </c>
    </row>
    <row r="42" spans="1:37" ht="79.5" customHeight="1" x14ac:dyDescent="0.45">
      <c r="A42" s="10">
        <v>40</v>
      </c>
      <c r="B42" s="10" t="s">
        <v>534</v>
      </c>
      <c r="C42" s="10" t="s">
        <v>21</v>
      </c>
      <c r="D42" s="10" t="s">
        <v>535</v>
      </c>
      <c r="E42" s="10" t="s">
        <v>536</v>
      </c>
      <c r="F42" s="10" t="s">
        <v>20</v>
      </c>
      <c r="G42" s="10" t="s">
        <v>537</v>
      </c>
      <c r="H42" s="11" t="s">
        <v>538</v>
      </c>
      <c r="I42" s="11" t="s">
        <v>76</v>
      </c>
      <c r="J42" s="11" t="s">
        <v>539</v>
      </c>
      <c r="K42" s="11" t="s">
        <v>540</v>
      </c>
      <c r="L42" s="11" t="s">
        <v>541</v>
      </c>
      <c r="M42" s="11" t="s">
        <v>542</v>
      </c>
      <c r="N42" s="11" t="s">
        <v>81</v>
      </c>
      <c r="O42" s="11" t="s">
        <v>141</v>
      </c>
      <c r="P42" s="11" t="s">
        <v>83</v>
      </c>
      <c r="Q42" s="11" t="s">
        <v>84</v>
      </c>
      <c r="R42" s="11" t="s">
        <v>83</v>
      </c>
      <c r="S42" s="11" t="s">
        <v>543</v>
      </c>
      <c r="T42" s="11" t="s">
        <v>86</v>
      </c>
      <c r="U42" s="11">
        <v>5</v>
      </c>
      <c r="V42" s="11" t="s">
        <v>84</v>
      </c>
      <c r="W42" s="11"/>
      <c r="X42" s="11" t="s">
        <v>544</v>
      </c>
      <c r="Y42" s="11" t="s">
        <v>545</v>
      </c>
      <c r="Z42" s="11" t="s">
        <v>546</v>
      </c>
      <c r="AA42" s="11" t="s">
        <v>260</v>
      </c>
      <c r="AB42" s="11" t="s">
        <v>547</v>
      </c>
      <c r="AC42" s="11" t="s">
        <v>535</v>
      </c>
      <c r="AD42" s="11" t="s">
        <v>93</v>
      </c>
      <c r="AE42" s="11"/>
      <c r="AF42" s="11"/>
      <c r="AG42" s="11"/>
      <c r="AH42" s="11"/>
      <c r="AI42" s="11" t="s">
        <v>94</v>
      </c>
      <c r="AJ42" s="11" t="s">
        <v>95</v>
      </c>
      <c r="AK42" s="11" t="s">
        <v>96</v>
      </c>
    </row>
    <row r="43" spans="1:37" ht="68.25" customHeight="1" x14ac:dyDescent="0.45">
      <c r="A43" s="10">
        <v>41</v>
      </c>
      <c r="B43" s="10" t="s">
        <v>548</v>
      </c>
      <c r="C43" s="10" t="s">
        <v>21</v>
      </c>
      <c r="D43" s="10" t="s">
        <v>549</v>
      </c>
      <c r="E43" s="10" t="s">
        <v>291</v>
      </c>
      <c r="F43" s="10" t="s">
        <v>18</v>
      </c>
      <c r="G43" s="10" t="s">
        <v>550</v>
      </c>
      <c r="H43" s="11" t="s">
        <v>551</v>
      </c>
      <c r="I43" s="11" t="s">
        <v>76</v>
      </c>
      <c r="J43" s="11" t="s">
        <v>552</v>
      </c>
      <c r="K43" s="11" t="s">
        <v>553</v>
      </c>
      <c r="L43" s="11" t="s">
        <v>554</v>
      </c>
      <c r="M43" s="11" t="s">
        <v>555</v>
      </c>
      <c r="N43" s="11" t="s">
        <v>81</v>
      </c>
      <c r="O43" s="11" t="s">
        <v>141</v>
      </c>
      <c r="P43" s="11" t="s">
        <v>83</v>
      </c>
      <c r="Q43" s="11" t="s">
        <v>83</v>
      </c>
      <c r="R43" s="11" t="s">
        <v>83</v>
      </c>
      <c r="S43" s="11" t="s">
        <v>556</v>
      </c>
      <c r="T43" s="11" t="s">
        <v>86</v>
      </c>
      <c r="U43" s="11">
        <v>3</v>
      </c>
      <c r="V43" s="11" t="s">
        <v>84</v>
      </c>
      <c r="W43" s="11"/>
      <c r="X43" s="11" t="s">
        <v>557</v>
      </c>
      <c r="Y43" s="11" t="s">
        <v>558</v>
      </c>
      <c r="Z43" s="11" t="s">
        <v>559</v>
      </c>
      <c r="AA43" s="11" t="s">
        <v>560</v>
      </c>
      <c r="AB43" s="11" t="s">
        <v>387</v>
      </c>
      <c r="AC43" s="11" t="s">
        <v>561</v>
      </c>
      <c r="AD43" s="11" t="s">
        <v>93</v>
      </c>
      <c r="AE43" s="11"/>
      <c r="AF43" s="11"/>
      <c r="AG43" s="11"/>
      <c r="AH43" s="11"/>
      <c r="AI43" s="11" t="s">
        <v>94</v>
      </c>
      <c r="AJ43" s="11" t="s">
        <v>95</v>
      </c>
      <c r="AK43" s="11" t="s">
        <v>96</v>
      </c>
    </row>
    <row r="44" spans="1:37" ht="68.25" customHeight="1" x14ac:dyDescent="0.45">
      <c r="A44" s="10">
        <v>42</v>
      </c>
      <c r="B44" s="10" t="s">
        <v>562</v>
      </c>
      <c r="C44" s="10" t="s">
        <v>22</v>
      </c>
      <c r="D44" s="10" t="s">
        <v>563</v>
      </c>
      <c r="E44" s="10" t="s">
        <v>265</v>
      </c>
      <c r="F44" s="10" t="s">
        <v>18</v>
      </c>
      <c r="G44" s="10" t="s">
        <v>564</v>
      </c>
      <c r="H44" s="11" t="s">
        <v>565</v>
      </c>
      <c r="I44" s="11" t="s">
        <v>76</v>
      </c>
      <c r="J44" s="11" t="s">
        <v>566</v>
      </c>
      <c r="K44" s="11" t="s">
        <v>567</v>
      </c>
      <c r="L44" s="11" t="s">
        <v>568</v>
      </c>
      <c r="M44" s="11" t="s">
        <v>569</v>
      </c>
      <c r="N44" s="11" t="s">
        <v>81</v>
      </c>
      <c r="O44" s="11" t="s">
        <v>141</v>
      </c>
      <c r="P44" s="11" t="s">
        <v>83</v>
      </c>
      <c r="Q44" s="11" t="s">
        <v>84</v>
      </c>
      <c r="R44" s="11" t="s">
        <v>84</v>
      </c>
      <c r="S44" s="11" t="s">
        <v>570</v>
      </c>
      <c r="T44" s="11" t="s">
        <v>86</v>
      </c>
      <c r="U44" s="11">
        <v>4</v>
      </c>
      <c r="V44" s="11" t="s">
        <v>84</v>
      </c>
      <c r="W44" s="11"/>
      <c r="X44" s="11" t="s">
        <v>571</v>
      </c>
      <c r="Y44" s="11" t="s">
        <v>572</v>
      </c>
      <c r="Z44" s="11" t="s">
        <v>573</v>
      </c>
      <c r="AA44" s="11" t="s">
        <v>574</v>
      </c>
      <c r="AB44" s="11" t="s">
        <v>575</v>
      </c>
      <c r="AC44" s="11" t="s">
        <v>576</v>
      </c>
      <c r="AD44" s="11" t="s">
        <v>93</v>
      </c>
      <c r="AE44" s="11"/>
      <c r="AF44" s="11"/>
      <c r="AG44" s="11"/>
      <c r="AH44" s="11"/>
      <c r="AI44" s="11" t="s">
        <v>94</v>
      </c>
      <c r="AJ44" s="11" t="s">
        <v>95</v>
      </c>
      <c r="AK44" s="11" t="s">
        <v>96</v>
      </c>
    </row>
    <row r="45" spans="1:37" ht="68.25" customHeight="1" x14ac:dyDescent="0.45">
      <c r="A45" s="10">
        <v>43</v>
      </c>
      <c r="B45" s="10" t="s">
        <v>577</v>
      </c>
      <c r="C45" s="10" t="s">
        <v>22</v>
      </c>
      <c r="D45" s="10" t="s">
        <v>578</v>
      </c>
      <c r="E45" s="10" t="s">
        <v>151</v>
      </c>
      <c r="F45" s="10" t="s">
        <v>18</v>
      </c>
      <c r="G45" s="10" t="s">
        <v>579</v>
      </c>
      <c r="H45" s="11" t="s">
        <v>580</v>
      </c>
      <c r="I45" s="11" t="s">
        <v>76</v>
      </c>
      <c r="J45" s="11" t="s">
        <v>581</v>
      </c>
      <c r="K45" s="11" t="s">
        <v>582</v>
      </c>
      <c r="L45" s="11" t="s">
        <v>395</v>
      </c>
      <c r="M45" s="11" t="s">
        <v>583</v>
      </c>
      <c r="N45" s="11" t="s">
        <v>81</v>
      </c>
      <c r="O45" s="11" t="s">
        <v>141</v>
      </c>
      <c r="P45" s="11" t="s">
        <v>83</v>
      </c>
      <c r="Q45" s="11" t="s">
        <v>84</v>
      </c>
      <c r="R45" s="11" t="s">
        <v>83</v>
      </c>
      <c r="S45" s="11" t="s">
        <v>584</v>
      </c>
      <c r="T45" s="11" t="s">
        <v>86</v>
      </c>
      <c r="U45" s="11">
        <v>4</v>
      </c>
      <c r="V45" s="11" t="s">
        <v>84</v>
      </c>
      <c r="W45" s="11"/>
      <c r="X45" s="11" t="s">
        <v>585</v>
      </c>
      <c r="Y45" s="11" t="s">
        <v>586</v>
      </c>
      <c r="Z45" s="11" t="s">
        <v>587</v>
      </c>
      <c r="AA45" s="11" t="s">
        <v>588</v>
      </c>
      <c r="AB45" s="11" t="s">
        <v>147</v>
      </c>
      <c r="AC45" s="11" t="s">
        <v>578</v>
      </c>
      <c r="AD45" s="11" t="s">
        <v>93</v>
      </c>
      <c r="AE45" s="11"/>
      <c r="AF45" s="11"/>
      <c r="AG45" s="11"/>
      <c r="AH45" s="11"/>
      <c r="AI45" s="11" t="s">
        <v>94</v>
      </c>
      <c r="AJ45" s="11" t="s">
        <v>95</v>
      </c>
      <c r="AK45" s="11" t="s">
        <v>96</v>
      </c>
    </row>
    <row r="46" spans="1:37" ht="68.25" customHeight="1" x14ac:dyDescent="0.45">
      <c r="A46" s="10">
        <v>44</v>
      </c>
      <c r="B46" s="10" t="s">
        <v>589</v>
      </c>
      <c r="C46" s="10" t="s">
        <v>22</v>
      </c>
      <c r="D46" s="10" t="s">
        <v>590</v>
      </c>
      <c r="E46" s="10" t="s">
        <v>591</v>
      </c>
      <c r="F46" s="10" t="s">
        <v>18</v>
      </c>
      <c r="G46" s="10" t="s">
        <v>592</v>
      </c>
      <c r="H46" s="11" t="s">
        <v>593</v>
      </c>
      <c r="I46" s="11" t="s">
        <v>76</v>
      </c>
      <c r="J46" s="11" t="s">
        <v>594</v>
      </c>
      <c r="K46" s="11" t="s">
        <v>595</v>
      </c>
      <c r="L46" s="11" t="s">
        <v>591</v>
      </c>
      <c r="M46" s="11" t="s">
        <v>596</v>
      </c>
      <c r="N46" s="11" t="s">
        <v>81</v>
      </c>
      <c r="O46" s="11" t="s">
        <v>448</v>
      </c>
      <c r="P46" s="11" t="s">
        <v>83</v>
      </c>
      <c r="Q46" s="11" t="s">
        <v>84</v>
      </c>
      <c r="R46" s="11" t="s">
        <v>83</v>
      </c>
      <c r="S46" s="11" t="s">
        <v>597</v>
      </c>
      <c r="T46" s="11" t="s">
        <v>109</v>
      </c>
      <c r="U46" s="11">
        <v>5</v>
      </c>
      <c r="V46" s="11" t="s">
        <v>83</v>
      </c>
      <c r="W46" s="11"/>
      <c r="X46" s="11" t="s">
        <v>598</v>
      </c>
      <c r="Y46" s="11" t="s">
        <v>599</v>
      </c>
      <c r="Z46" s="11" t="s">
        <v>600</v>
      </c>
      <c r="AA46" s="11" t="s">
        <v>601</v>
      </c>
      <c r="AB46" s="11" t="s">
        <v>575</v>
      </c>
      <c r="AC46" s="11" t="s">
        <v>602</v>
      </c>
      <c r="AD46" s="11" t="s">
        <v>93</v>
      </c>
      <c r="AE46" s="11"/>
      <c r="AF46" s="11"/>
      <c r="AG46" s="11"/>
      <c r="AH46" s="11"/>
      <c r="AI46" s="11" t="s">
        <v>94</v>
      </c>
      <c r="AJ46" s="11" t="s">
        <v>95</v>
      </c>
      <c r="AK46" s="11" t="s">
        <v>96</v>
      </c>
    </row>
    <row r="47" spans="1:37" ht="79.5" customHeight="1" x14ac:dyDescent="0.45">
      <c r="A47" s="10">
        <v>45</v>
      </c>
      <c r="B47" s="10" t="s">
        <v>603</v>
      </c>
      <c r="C47" s="10" t="s">
        <v>22</v>
      </c>
      <c r="D47" s="10" t="s">
        <v>604</v>
      </c>
      <c r="E47" s="10" t="s">
        <v>73</v>
      </c>
      <c r="F47" s="10" t="s">
        <v>18</v>
      </c>
      <c r="G47" s="10" t="s">
        <v>605</v>
      </c>
      <c r="H47" s="11" t="s">
        <v>606</v>
      </c>
      <c r="I47" s="11" t="s">
        <v>76</v>
      </c>
      <c r="J47" s="11" t="s">
        <v>607</v>
      </c>
      <c r="K47" s="11" t="s">
        <v>608</v>
      </c>
      <c r="L47" s="11" t="s">
        <v>73</v>
      </c>
      <c r="M47" s="11" t="s">
        <v>609</v>
      </c>
      <c r="N47" s="11" t="s">
        <v>81</v>
      </c>
      <c r="O47" s="11" t="s">
        <v>141</v>
      </c>
      <c r="P47" s="11" t="s">
        <v>83</v>
      </c>
      <c r="Q47" s="11" t="s">
        <v>84</v>
      </c>
      <c r="R47" s="11" t="s">
        <v>84</v>
      </c>
      <c r="S47" s="11" t="s">
        <v>610</v>
      </c>
      <c r="T47" s="11" t="s">
        <v>190</v>
      </c>
      <c r="U47" s="11">
        <v>5</v>
      </c>
      <c r="V47" s="11" t="s">
        <v>84</v>
      </c>
      <c r="W47" s="11"/>
      <c r="X47" s="11" t="s">
        <v>611</v>
      </c>
      <c r="Y47" s="11" t="s">
        <v>612</v>
      </c>
      <c r="Z47" s="11" t="s">
        <v>613</v>
      </c>
      <c r="AA47" s="11" t="s">
        <v>614</v>
      </c>
      <c r="AB47" s="11" t="s">
        <v>147</v>
      </c>
      <c r="AC47" s="11" t="s">
        <v>615</v>
      </c>
      <c r="AD47" s="11" t="s">
        <v>93</v>
      </c>
      <c r="AE47" s="11"/>
      <c r="AF47" s="11"/>
      <c r="AG47" s="11"/>
      <c r="AH47" s="11"/>
      <c r="AI47" s="11" t="s">
        <v>94</v>
      </c>
      <c r="AJ47" s="11" t="s">
        <v>95</v>
      </c>
      <c r="AK47" s="11" t="s">
        <v>96</v>
      </c>
    </row>
    <row r="48" spans="1:37" ht="68.25" customHeight="1" x14ac:dyDescent="0.45">
      <c r="A48" s="10">
        <v>46</v>
      </c>
      <c r="B48" s="10" t="s">
        <v>616</v>
      </c>
      <c r="C48" s="10" t="s">
        <v>22</v>
      </c>
      <c r="D48" s="10" t="s">
        <v>617</v>
      </c>
      <c r="E48" s="10" t="s">
        <v>235</v>
      </c>
      <c r="F48" s="10" t="s">
        <v>18</v>
      </c>
      <c r="G48" s="10" t="s">
        <v>618</v>
      </c>
      <c r="H48" s="11" t="s">
        <v>619</v>
      </c>
      <c r="I48" s="11" t="s">
        <v>76</v>
      </c>
      <c r="J48" s="11" t="s">
        <v>620</v>
      </c>
      <c r="K48" s="11" t="s">
        <v>621</v>
      </c>
      <c r="L48" s="11" t="s">
        <v>622</v>
      </c>
      <c r="M48" s="11" t="s">
        <v>623</v>
      </c>
      <c r="N48" s="11" t="s">
        <v>81</v>
      </c>
      <c r="O48" s="11" t="s">
        <v>141</v>
      </c>
      <c r="P48" s="11" t="s">
        <v>83</v>
      </c>
      <c r="Q48" s="11" t="s">
        <v>83</v>
      </c>
      <c r="R48" s="11" t="s">
        <v>83</v>
      </c>
      <c r="S48" s="11" t="s">
        <v>624</v>
      </c>
      <c r="T48" s="11" t="s">
        <v>86</v>
      </c>
      <c r="U48" s="11">
        <v>3</v>
      </c>
      <c r="V48" s="11" t="s">
        <v>84</v>
      </c>
      <c r="W48" s="11"/>
      <c r="X48" s="11" t="s">
        <v>625</v>
      </c>
      <c r="Y48" s="11" t="s">
        <v>626</v>
      </c>
      <c r="Z48" s="11" t="s">
        <v>627</v>
      </c>
      <c r="AA48" s="11" t="s">
        <v>628</v>
      </c>
      <c r="AB48" s="11" t="s">
        <v>629</v>
      </c>
      <c r="AC48" s="11" t="s">
        <v>630</v>
      </c>
      <c r="AD48" s="11" t="s">
        <v>93</v>
      </c>
      <c r="AE48" s="11"/>
      <c r="AF48" s="11"/>
      <c r="AG48" s="11"/>
      <c r="AH48" s="11"/>
      <c r="AI48" s="11" t="s">
        <v>94</v>
      </c>
      <c r="AJ48" s="11" t="s">
        <v>95</v>
      </c>
      <c r="AK48" s="11" t="s">
        <v>96</v>
      </c>
    </row>
    <row r="49" spans="1:37" ht="68.25" customHeight="1" x14ac:dyDescent="0.45">
      <c r="A49" s="10">
        <v>47</v>
      </c>
      <c r="B49" s="10" t="s">
        <v>631</v>
      </c>
      <c r="C49" s="10" t="s">
        <v>22</v>
      </c>
      <c r="D49" s="10" t="s">
        <v>632</v>
      </c>
      <c r="E49" s="10" t="s">
        <v>291</v>
      </c>
      <c r="F49" s="10" t="s">
        <v>18</v>
      </c>
      <c r="G49" s="10" t="s">
        <v>633</v>
      </c>
      <c r="H49" s="11" t="s">
        <v>634</v>
      </c>
      <c r="I49" s="11" t="s">
        <v>76</v>
      </c>
      <c r="J49" s="11" t="s">
        <v>635</v>
      </c>
      <c r="K49" s="11" t="s">
        <v>636</v>
      </c>
      <c r="L49" s="11" t="s">
        <v>637</v>
      </c>
      <c r="M49" s="11" t="s">
        <v>638</v>
      </c>
      <c r="N49" s="11" t="s">
        <v>81</v>
      </c>
      <c r="O49" s="11" t="s">
        <v>141</v>
      </c>
      <c r="P49" s="11" t="s">
        <v>84</v>
      </c>
      <c r="Q49" s="11" t="s">
        <v>84</v>
      </c>
      <c r="R49" s="11" t="s">
        <v>83</v>
      </c>
      <c r="S49" s="11" t="s">
        <v>639</v>
      </c>
      <c r="T49" s="11" t="s">
        <v>109</v>
      </c>
      <c r="U49" s="11">
        <v>3</v>
      </c>
      <c r="V49" s="11" t="s">
        <v>84</v>
      </c>
      <c r="W49" s="11"/>
      <c r="X49" s="11" t="s">
        <v>348</v>
      </c>
      <c r="Y49" s="11" t="s">
        <v>640</v>
      </c>
      <c r="Z49" s="11" t="s">
        <v>641</v>
      </c>
      <c r="AA49" s="11" t="s">
        <v>642</v>
      </c>
      <c r="AB49" s="11" t="s">
        <v>643</v>
      </c>
      <c r="AC49" s="11" t="s">
        <v>644</v>
      </c>
      <c r="AD49" s="11" t="s">
        <v>93</v>
      </c>
      <c r="AE49" s="11"/>
      <c r="AF49" s="11"/>
      <c r="AG49" s="11"/>
      <c r="AH49" s="11"/>
      <c r="AI49" s="11" t="s">
        <v>94</v>
      </c>
      <c r="AJ49" s="11" t="s">
        <v>95</v>
      </c>
      <c r="AK49" s="11" t="s">
        <v>96</v>
      </c>
    </row>
    <row r="50" spans="1:37" ht="68.25" customHeight="1" x14ac:dyDescent="0.45">
      <c r="A50" s="10">
        <v>48</v>
      </c>
      <c r="B50" s="10" t="s">
        <v>645</v>
      </c>
      <c r="C50" s="10" t="s">
        <v>23</v>
      </c>
      <c r="D50" s="10" t="s">
        <v>646</v>
      </c>
      <c r="E50" s="10" t="s">
        <v>73</v>
      </c>
      <c r="F50" s="10" t="s">
        <v>18</v>
      </c>
      <c r="G50" s="10" t="s">
        <v>647</v>
      </c>
      <c r="H50" s="11" t="s">
        <v>648</v>
      </c>
      <c r="I50" s="11" t="s">
        <v>76</v>
      </c>
      <c r="J50" s="11" t="s">
        <v>649</v>
      </c>
      <c r="K50" s="11" t="s">
        <v>650</v>
      </c>
      <c r="L50" s="11" t="s">
        <v>651</v>
      </c>
      <c r="M50" s="11" t="s">
        <v>652</v>
      </c>
      <c r="N50" s="11" t="s">
        <v>81</v>
      </c>
      <c r="O50" s="11" t="s">
        <v>141</v>
      </c>
      <c r="P50" s="11" t="s">
        <v>83</v>
      </c>
      <c r="Q50" s="11" t="s">
        <v>84</v>
      </c>
      <c r="R50" s="11" t="s">
        <v>83</v>
      </c>
      <c r="S50" s="11" t="s">
        <v>653</v>
      </c>
      <c r="T50" s="11" t="s">
        <v>86</v>
      </c>
      <c r="U50" s="11">
        <v>4</v>
      </c>
      <c r="V50" s="11" t="s">
        <v>84</v>
      </c>
      <c r="W50" s="11"/>
      <c r="X50" s="11" t="s">
        <v>654</v>
      </c>
      <c r="Y50" s="11" t="s">
        <v>655</v>
      </c>
      <c r="Z50" s="11" t="s">
        <v>260</v>
      </c>
      <c r="AA50" s="11" t="s">
        <v>656</v>
      </c>
      <c r="AB50" s="11" t="s">
        <v>657</v>
      </c>
      <c r="AC50" s="11" t="s">
        <v>646</v>
      </c>
      <c r="AD50" s="11" t="s">
        <v>93</v>
      </c>
      <c r="AE50" s="11"/>
      <c r="AF50" s="11"/>
      <c r="AG50" s="11"/>
      <c r="AH50" s="11"/>
      <c r="AI50" s="11" t="s">
        <v>94</v>
      </c>
      <c r="AJ50" s="11" t="s">
        <v>95</v>
      </c>
      <c r="AK50" s="11" t="s">
        <v>96</v>
      </c>
    </row>
    <row r="51" spans="1:37" ht="15" customHeight="1" x14ac:dyDescent="0.45">
      <c r="A51" s="12">
        <v>49</v>
      </c>
      <c r="B51" s="12" t="s">
        <v>658</v>
      </c>
      <c r="C51" s="12" t="s">
        <v>23</v>
      </c>
      <c r="D51" s="12" t="s">
        <v>659</v>
      </c>
      <c r="E51" s="12" t="s">
        <v>151</v>
      </c>
      <c r="F51" s="12"/>
      <c r="G51" s="12" t="s">
        <v>660</v>
      </c>
      <c r="H51" s="12"/>
      <c r="I51" s="12" t="s">
        <v>76</v>
      </c>
      <c r="J51" s="12"/>
      <c r="K51" s="12"/>
      <c r="L51" s="12"/>
      <c r="M51" s="12"/>
      <c r="N51" s="12"/>
      <c r="O51" s="12"/>
      <c r="P51" s="12"/>
      <c r="Q51" s="12"/>
      <c r="R51" s="12"/>
      <c r="S51" s="12"/>
      <c r="T51" s="12"/>
      <c r="U51" s="12"/>
      <c r="V51" s="12"/>
      <c r="W51" s="12"/>
      <c r="X51" s="12"/>
      <c r="Y51" s="12" t="s">
        <v>293</v>
      </c>
      <c r="Z51" s="12"/>
      <c r="AA51" s="12"/>
      <c r="AB51" s="12"/>
      <c r="AC51" s="12"/>
      <c r="AD51" s="12"/>
      <c r="AE51" s="12"/>
      <c r="AF51" s="12"/>
      <c r="AG51" s="12"/>
      <c r="AH51" s="12"/>
      <c r="AI51" s="12"/>
      <c r="AJ51" s="12" t="s">
        <v>95</v>
      </c>
      <c r="AK51" s="12" t="s">
        <v>217</v>
      </c>
    </row>
    <row r="52" spans="1:37" ht="68.25" customHeight="1" x14ac:dyDescent="0.45">
      <c r="A52" s="10">
        <v>50</v>
      </c>
      <c r="B52" s="10" t="s">
        <v>661</v>
      </c>
      <c r="C52" s="10" t="s">
        <v>23</v>
      </c>
      <c r="D52" s="10" t="s">
        <v>662</v>
      </c>
      <c r="E52" s="10" t="s">
        <v>663</v>
      </c>
      <c r="F52" s="10" t="s">
        <v>18</v>
      </c>
      <c r="G52" s="10" t="s">
        <v>664</v>
      </c>
      <c r="H52" s="11" t="s">
        <v>665</v>
      </c>
      <c r="I52" s="11" t="s">
        <v>76</v>
      </c>
      <c r="J52" s="11" t="s">
        <v>666</v>
      </c>
      <c r="K52" s="11" t="s">
        <v>667</v>
      </c>
      <c r="L52" s="11" t="s">
        <v>668</v>
      </c>
      <c r="M52" s="11" t="s">
        <v>669</v>
      </c>
      <c r="N52" s="11" t="s">
        <v>81</v>
      </c>
      <c r="O52" s="11" t="s">
        <v>141</v>
      </c>
      <c r="P52" s="11" t="s">
        <v>83</v>
      </c>
      <c r="Q52" s="11" t="s">
        <v>84</v>
      </c>
      <c r="R52" s="11" t="s">
        <v>83</v>
      </c>
      <c r="S52" s="11" t="s">
        <v>670</v>
      </c>
      <c r="T52" s="11" t="s">
        <v>109</v>
      </c>
      <c r="U52" s="11">
        <v>3</v>
      </c>
      <c r="V52" s="11" t="s">
        <v>84</v>
      </c>
      <c r="W52" s="11"/>
      <c r="X52" s="11" t="s">
        <v>671</v>
      </c>
      <c r="Y52" s="11" t="s">
        <v>672</v>
      </c>
      <c r="Z52" s="11" t="s">
        <v>673</v>
      </c>
      <c r="AA52" s="11" t="s">
        <v>674</v>
      </c>
      <c r="AB52" s="11" t="s">
        <v>675</v>
      </c>
      <c r="AC52" s="11" t="s">
        <v>676</v>
      </c>
      <c r="AD52" s="11" t="s">
        <v>93</v>
      </c>
      <c r="AE52" s="11"/>
      <c r="AF52" s="11"/>
      <c r="AG52" s="11"/>
      <c r="AH52" s="11"/>
      <c r="AI52" s="11" t="s">
        <v>94</v>
      </c>
      <c r="AJ52" s="11" t="s">
        <v>95</v>
      </c>
      <c r="AK52" s="11" t="s">
        <v>96</v>
      </c>
    </row>
    <row r="53" spans="1:37" ht="68.25" customHeight="1" x14ac:dyDescent="0.45">
      <c r="A53" s="10">
        <v>51</v>
      </c>
      <c r="B53" s="10" t="s">
        <v>677</v>
      </c>
      <c r="C53" s="10" t="s">
        <v>23</v>
      </c>
      <c r="D53" s="10" t="s">
        <v>678</v>
      </c>
      <c r="E53" s="10" t="s">
        <v>235</v>
      </c>
      <c r="F53" s="10" t="s">
        <v>18</v>
      </c>
      <c r="G53" s="10" t="s">
        <v>679</v>
      </c>
      <c r="H53" s="11" t="s">
        <v>680</v>
      </c>
      <c r="I53" s="11" t="s">
        <v>76</v>
      </c>
      <c r="J53" s="11" t="s">
        <v>681</v>
      </c>
      <c r="K53" s="11" t="s">
        <v>682</v>
      </c>
      <c r="L53" s="11" t="s">
        <v>683</v>
      </c>
      <c r="M53" s="11" t="s">
        <v>684</v>
      </c>
      <c r="N53" s="11" t="s">
        <v>106</v>
      </c>
      <c r="O53" s="11" t="s">
        <v>685</v>
      </c>
      <c r="P53" s="11" t="s">
        <v>83</v>
      </c>
      <c r="Q53" s="11" t="s">
        <v>84</v>
      </c>
      <c r="R53" s="11" t="s">
        <v>83</v>
      </c>
      <c r="S53" s="11" t="s">
        <v>686</v>
      </c>
      <c r="T53" s="11" t="s">
        <v>86</v>
      </c>
      <c r="U53" s="11">
        <v>3</v>
      </c>
      <c r="V53" s="11" t="s">
        <v>83</v>
      </c>
      <c r="W53" s="11"/>
      <c r="X53" s="11" t="s">
        <v>687</v>
      </c>
      <c r="Y53" s="11" t="s">
        <v>688</v>
      </c>
      <c r="Z53" s="11" t="s">
        <v>689</v>
      </c>
      <c r="AA53" s="11" t="s">
        <v>690</v>
      </c>
      <c r="AB53" s="11" t="s">
        <v>643</v>
      </c>
      <c r="AC53" s="11" t="s">
        <v>691</v>
      </c>
      <c r="AD53" s="11" t="s">
        <v>93</v>
      </c>
      <c r="AE53" s="11"/>
      <c r="AF53" s="11"/>
      <c r="AG53" s="11"/>
      <c r="AH53" s="11"/>
      <c r="AI53" s="11" t="s">
        <v>94</v>
      </c>
      <c r="AJ53" s="11" t="s">
        <v>95</v>
      </c>
      <c r="AK53" s="11" t="s">
        <v>96</v>
      </c>
    </row>
    <row r="54" spans="1:37" ht="68.25" customHeight="1" x14ac:dyDescent="0.45">
      <c r="A54" s="10">
        <v>52</v>
      </c>
      <c r="B54" s="10" t="s">
        <v>692</v>
      </c>
      <c r="C54" s="10" t="s">
        <v>23</v>
      </c>
      <c r="D54" s="10" t="s">
        <v>693</v>
      </c>
      <c r="E54" s="10" t="s">
        <v>73</v>
      </c>
      <c r="F54" s="10" t="s">
        <v>16</v>
      </c>
      <c r="G54" s="10" t="s">
        <v>694</v>
      </c>
      <c r="H54" s="11" t="s">
        <v>695</v>
      </c>
      <c r="I54" s="11" t="s">
        <v>76</v>
      </c>
      <c r="J54" s="11" t="s">
        <v>696</v>
      </c>
      <c r="K54" s="11" t="s">
        <v>697</v>
      </c>
      <c r="L54" s="11" t="s">
        <v>698</v>
      </c>
      <c r="M54" s="11" t="s">
        <v>699</v>
      </c>
      <c r="N54" s="11" t="s">
        <v>81</v>
      </c>
      <c r="O54" s="11" t="s">
        <v>141</v>
      </c>
      <c r="P54" s="11" t="s">
        <v>83</v>
      </c>
      <c r="Q54" s="11" t="s">
        <v>84</v>
      </c>
      <c r="R54" s="11" t="s">
        <v>84</v>
      </c>
      <c r="S54" s="11" t="s">
        <v>700</v>
      </c>
      <c r="T54" s="11" t="s">
        <v>86</v>
      </c>
      <c r="U54" s="11">
        <v>3</v>
      </c>
      <c r="V54" s="11" t="s">
        <v>84</v>
      </c>
      <c r="W54" s="11"/>
      <c r="X54" s="11" t="s">
        <v>701</v>
      </c>
      <c r="Y54" s="11" t="s">
        <v>702</v>
      </c>
      <c r="Z54" s="11" t="s">
        <v>703</v>
      </c>
      <c r="AA54" s="11" t="s">
        <v>704</v>
      </c>
      <c r="AB54" s="11" t="s">
        <v>705</v>
      </c>
      <c r="AC54" s="11" t="s">
        <v>706</v>
      </c>
      <c r="AD54" s="11" t="s">
        <v>93</v>
      </c>
      <c r="AE54" s="11"/>
      <c r="AF54" s="11"/>
      <c r="AG54" s="11"/>
      <c r="AH54" s="11"/>
      <c r="AI54" s="11" t="s">
        <v>94</v>
      </c>
      <c r="AJ54" s="11" t="s">
        <v>95</v>
      </c>
      <c r="AK54" s="11" t="s">
        <v>96</v>
      </c>
    </row>
    <row r="55" spans="1:37" ht="68.25" customHeight="1" x14ac:dyDescent="0.45">
      <c r="A55" s="10">
        <v>53</v>
      </c>
      <c r="B55" s="10" t="s">
        <v>707</v>
      </c>
      <c r="C55" s="10" t="s">
        <v>23</v>
      </c>
      <c r="D55" s="10" t="s">
        <v>708</v>
      </c>
      <c r="E55" s="10" t="s">
        <v>709</v>
      </c>
      <c r="F55" s="10" t="s">
        <v>18</v>
      </c>
      <c r="G55" s="10" t="s">
        <v>710</v>
      </c>
      <c r="H55" s="11" t="s">
        <v>711</v>
      </c>
      <c r="I55" s="11" t="s">
        <v>76</v>
      </c>
      <c r="J55" s="11" t="s">
        <v>712</v>
      </c>
      <c r="K55" s="11" t="s">
        <v>713</v>
      </c>
      <c r="L55" s="11" t="s">
        <v>714</v>
      </c>
      <c r="M55" s="11" t="s">
        <v>715</v>
      </c>
      <c r="N55" s="11" t="s">
        <v>81</v>
      </c>
      <c r="O55" s="11" t="s">
        <v>141</v>
      </c>
      <c r="P55" s="11" t="s">
        <v>83</v>
      </c>
      <c r="Q55" s="11" t="s">
        <v>83</v>
      </c>
      <c r="R55" s="11" t="s">
        <v>83</v>
      </c>
      <c r="S55" s="11" t="s">
        <v>716</v>
      </c>
      <c r="T55" s="11" t="s">
        <v>86</v>
      </c>
      <c r="U55" s="11">
        <v>4</v>
      </c>
      <c r="V55" s="11" t="s">
        <v>83</v>
      </c>
      <c r="W55" s="11"/>
      <c r="X55" s="11" t="s">
        <v>508</v>
      </c>
      <c r="Y55" s="11" t="s">
        <v>717</v>
      </c>
      <c r="Z55" s="11" t="s">
        <v>718</v>
      </c>
      <c r="AA55" s="11" t="s">
        <v>260</v>
      </c>
      <c r="AB55" s="11" t="s">
        <v>719</v>
      </c>
      <c r="AC55" s="11" t="s">
        <v>720</v>
      </c>
      <c r="AD55" s="11" t="s">
        <v>93</v>
      </c>
      <c r="AE55" s="11"/>
      <c r="AF55" s="11"/>
      <c r="AG55" s="11"/>
      <c r="AH55" s="11"/>
      <c r="AI55" s="11" t="s">
        <v>94</v>
      </c>
      <c r="AJ55" s="11" t="s">
        <v>95</v>
      </c>
      <c r="AK55" s="11" t="s">
        <v>96</v>
      </c>
    </row>
    <row r="56" spans="1:37" ht="15" customHeight="1" x14ac:dyDescent="0.45">
      <c r="A56" s="12">
        <v>54</v>
      </c>
      <c r="B56" s="12" t="s">
        <v>721</v>
      </c>
      <c r="C56" s="12" t="s">
        <v>23</v>
      </c>
      <c r="D56" s="12" t="s">
        <v>722</v>
      </c>
      <c r="E56" s="12" t="s">
        <v>723</v>
      </c>
      <c r="F56" s="12"/>
      <c r="G56" s="12" t="s">
        <v>724</v>
      </c>
      <c r="H56" s="12"/>
      <c r="I56" s="12" t="s">
        <v>76</v>
      </c>
      <c r="J56" s="12"/>
      <c r="K56" s="12"/>
      <c r="L56" s="12"/>
      <c r="M56" s="12"/>
      <c r="N56" s="12"/>
      <c r="O56" s="12"/>
      <c r="P56" s="12"/>
      <c r="Q56" s="12"/>
      <c r="R56" s="12"/>
      <c r="S56" s="12"/>
      <c r="T56" s="12"/>
      <c r="U56" s="12"/>
      <c r="V56" s="12"/>
      <c r="W56" s="12"/>
      <c r="X56" s="12"/>
      <c r="Y56" s="12" t="s">
        <v>725</v>
      </c>
      <c r="Z56" s="12"/>
      <c r="AA56" s="12"/>
      <c r="AB56" s="12"/>
      <c r="AC56" s="12"/>
      <c r="AD56" s="12"/>
      <c r="AE56" s="12"/>
      <c r="AF56" s="12"/>
      <c r="AG56" s="12"/>
      <c r="AH56" s="12"/>
      <c r="AI56" s="12"/>
      <c r="AJ56" s="12" t="s">
        <v>95</v>
      </c>
      <c r="AK56" s="12" t="s">
        <v>217</v>
      </c>
    </row>
    <row r="57" spans="1:37" ht="68.25" customHeight="1" x14ac:dyDescent="0.45">
      <c r="A57" s="10">
        <v>55</v>
      </c>
      <c r="B57" s="10" t="s">
        <v>726</v>
      </c>
      <c r="C57" s="10" t="s">
        <v>23</v>
      </c>
      <c r="D57" s="10" t="s">
        <v>727</v>
      </c>
      <c r="E57" s="10" t="s">
        <v>291</v>
      </c>
      <c r="F57" s="10" t="s">
        <v>16</v>
      </c>
      <c r="G57" s="10" t="s">
        <v>728</v>
      </c>
      <c r="H57" s="11" t="s">
        <v>729</v>
      </c>
      <c r="I57" s="11" t="s">
        <v>730</v>
      </c>
      <c r="J57" s="11" t="s">
        <v>731</v>
      </c>
      <c r="K57" s="11" t="s">
        <v>732</v>
      </c>
      <c r="L57" s="11" t="s">
        <v>733</v>
      </c>
      <c r="M57" s="11" t="s">
        <v>734</v>
      </c>
      <c r="N57" s="11" t="s">
        <v>81</v>
      </c>
      <c r="O57" s="11" t="s">
        <v>141</v>
      </c>
      <c r="P57" s="11" t="s">
        <v>83</v>
      </c>
      <c r="Q57" s="11" t="s">
        <v>83</v>
      </c>
      <c r="R57" s="11" t="s">
        <v>83</v>
      </c>
      <c r="S57" s="11" t="s">
        <v>735</v>
      </c>
      <c r="T57" s="11" t="s">
        <v>86</v>
      </c>
      <c r="U57" s="11">
        <v>2</v>
      </c>
      <c r="V57" s="11" t="s">
        <v>83</v>
      </c>
      <c r="W57" s="11"/>
      <c r="X57" s="11" t="s">
        <v>736</v>
      </c>
      <c r="Y57" s="11" t="s">
        <v>737</v>
      </c>
      <c r="Z57" s="11" t="s">
        <v>738</v>
      </c>
      <c r="AA57" s="11" t="s">
        <v>739</v>
      </c>
      <c r="AB57" s="11" t="s">
        <v>740</v>
      </c>
      <c r="AC57" s="11" t="s">
        <v>727</v>
      </c>
      <c r="AD57" s="11" t="s">
        <v>93</v>
      </c>
      <c r="AE57" s="11"/>
      <c r="AF57" s="11"/>
      <c r="AG57" s="11"/>
      <c r="AH57" s="11"/>
      <c r="AI57" s="11" t="s">
        <v>94</v>
      </c>
      <c r="AJ57" s="11" t="s">
        <v>95</v>
      </c>
      <c r="AK57" s="11" t="s">
        <v>96</v>
      </c>
    </row>
    <row r="58" spans="1:37" ht="68.25" customHeight="1" x14ac:dyDescent="0.45">
      <c r="A58" s="10">
        <v>56</v>
      </c>
      <c r="B58" s="10" t="s">
        <v>741</v>
      </c>
      <c r="C58" s="10" t="s">
        <v>23</v>
      </c>
      <c r="D58" s="10" t="s">
        <v>742</v>
      </c>
      <c r="E58" s="10" t="s">
        <v>101</v>
      </c>
      <c r="F58" s="10" t="s">
        <v>14</v>
      </c>
      <c r="G58" s="10" t="s">
        <v>743</v>
      </c>
      <c r="H58" s="11" t="s">
        <v>744</v>
      </c>
      <c r="I58" s="11" t="s">
        <v>101</v>
      </c>
      <c r="J58" s="11" t="s">
        <v>745</v>
      </c>
      <c r="K58" s="11" t="s">
        <v>746</v>
      </c>
      <c r="L58" s="11" t="s">
        <v>747</v>
      </c>
      <c r="M58" s="11" t="s">
        <v>748</v>
      </c>
      <c r="N58" s="11" t="s">
        <v>106</v>
      </c>
      <c r="O58" s="11" t="s">
        <v>106</v>
      </c>
      <c r="P58" s="11" t="s">
        <v>83</v>
      </c>
      <c r="Q58" s="11" t="s">
        <v>84</v>
      </c>
      <c r="R58" s="11" t="s">
        <v>84</v>
      </c>
      <c r="S58" s="11" t="s">
        <v>749</v>
      </c>
      <c r="T58" s="11" t="s">
        <v>109</v>
      </c>
      <c r="U58" s="11">
        <v>2</v>
      </c>
      <c r="V58" s="11" t="s">
        <v>84</v>
      </c>
      <c r="W58" s="11"/>
      <c r="X58" s="11" t="s">
        <v>750</v>
      </c>
      <c r="Y58" s="11" t="s">
        <v>751</v>
      </c>
      <c r="Z58" s="11" t="s">
        <v>752</v>
      </c>
      <c r="AA58" s="11" t="s">
        <v>753</v>
      </c>
      <c r="AB58" s="11" t="s">
        <v>754</v>
      </c>
      <c r="AC58" s="11" t="s">
        <v>742</v>
      </c>
      <c r="AD58" s="11" t="s">
        <v>93</v>
      </c>
      <c r="AE58" s="11"/>
      <c r="AF58" s="11"/>
      <c r="AG58" s="11"/>
      <c r="AH58" s="11"/>
      <c r="AI58" s="11" t="s">
        <v>94</v>
      </c>
      <c r="AJ58" s="11" t="s">
        <v>95</v>
      </c>
      <c r="AK58" s="11" t="s">
        <v>96</v>
      </c>
    </row>
    <row r="59" spans="1:37" ht="23.25" customHeight="1" x14ac:dyDescent="0.45">
      <c r="A59" s="12">
        <v>57</v>
      </c>
      <c r="B59" s="12" t="s">
        <v>755</v>
      </c>
      <c r="C59" s="12" t="s">
        <v>23</v>
      </c>
      <c r="D59" s="12" t="s">
        <v>756</v>
      </c>
      <c r="E59" s="12" t="s">
        <v>270</v>
      </c>
      <c r="F59" s="12"/>
      <c r="G59" s="12" t="s">
        <v>757</v>
      </c>
      <c r="H59" s="12"/>
      <c r="I59" s="12" t="s">
        <v>76</v>
      </c>
      <c r="J59" s="12"/>
      <c r="K59" s="12"/>
      <c r="L59" s="12"/>
      <c r="M59" s="12"/>
      <c r="N59" s="12"/>
      <c r="O59" s="12"/>
      <c r="P59" s="12"/>
      <c r="Q59" s="12"/>
      <c r="R59" s="12"/>
      <c r="S59" s="12"/>
      <c r="T59" s="12"/>
      <c r="U59" s="12"/>
      <c r="V59" s="12"/>
      <c r="W59" s="12"/>
      <c r="X59" s="12"/>
      <c r="Y59" s="12" t="s">
        <v>758</v>
      </c>
      <c r="Z59" s="12"/>
      <c r="AA59" s="12"/>
      <c r="AB59" s="12"/>
      <c r="AC59" s="12"/>
      <c r="AD59" s="12"/>
      <c r="AE59" s="12"/>
      <c r="AF59" s="12"/>
      <c r="AG59" s="12"/>
      <c r="AH59" s="12"/>
      <c r="AI59" s="12"/>
      <c r="AJ59" s="12" t="s">
        <v>95</v>
      </c>
      <c r="AK59" s="12" t="s">
        <v>217</v>
      </c>
    </row>
    <row r="60" spans="1:37" ht="15" customHeight="1" x14ac:dyDescent="0.45">
      <c r="A60" s="12">
        <v>58</v>
      </c>
      <c r="B60" s="12" t="s">
        <v>759</v>
      </c>
      <c r="C60" s="12" t="s">
        <v>25</v>
      </c>
      <c r="D60" s="12" t="s">
        <v>760</v>
      </c>
      <c r="E60" s="12" t="s">
        <v>151</v>
      </c>
      <c r="F60" s="12"/>
      <c r="G60" s="12" t="s">
        <v>761</v>
      </c>
      <c r="H60" s="12"/>
      <c r="I60" s="12" t="s">
        <v>76</v>
      </c>
      <c r="J60" s="12"/>
      <c r="K60" s="12"/>
      <c r="L60" s="12"/>
      <c r="M60" s="12"/>
      <c r="N60" s="12"/>
      <c r="O60" s="12"/>
      <c r="P60" s="12"/>
      <c r="Q60" s="12"/>
      <c r="R60" s="12"/>
      <c r="S60" s="12"/>
      <c r="T60" s="12"/>
      <c r="U60" s="12"/>
      <c r="V60" s="12"/>
      <c r="W60" s="12"/>
      <c r="X60" s="12"/>
      <c r="Y60" s="12" t="s">
        <v>762</v>
      </c>
      <c r="Z60" s="12"/>
      <c r="AA60" s="12"/>
      <c r="AB60" s="12"/>
      <c r="AC60" s="12"/>
      <c r="AD60" s="12"/>
      <c r="AE60" s="12"/>
      <c r="AF60" s="12"/>
      <c r="AG60" s="12"/>
      <c r="AH60" s="12"/>
      <c r="AI60" s="12"/>
      <c r="AJ60" s="12" t="s">
        <v>95</v>
      </c>
      <c r="AK60" s="12" t="s">
        <v>217</v>
      </c>
    </row>
    <row r="61" spans="1:37" ht="68.25" customHeight="1" x14ac:dyDescent="0.45">
      <c r="A61" s="10">
        <v>59</v>
      </c>
      <c r="B61" s="10" t="s">
        <v>763</v>
      </c>
      <c r="C61" s="10" t="s">
        <v>25</v>
      </c>
      <c r="D61" s="10" t="s">
        <v>764</v>
      </c>
      <c r="E61" s="10" t="s">
        <v>73</v>
      </c>
      <c r="F61" s="10" t="s">
        <v>18</v>
      </c>
      <c r="G61" s="10" t="s">
        <v>605</v>
      </c>
      <c r="H61" s="11" t="s">
        <v>765</v>
      </c>
      <c r="I61" s="11" t="s">
        <v>76</v>
      </c>
      <c r="J61" s="11" t="s">
        <v>766</v>
      </c>
      <c r="K61" s="11" t="s">
        <v>767</v>
      </c>
      <c r="L61" s="11" t="s">
        <v>768</v>
      </c>
      <c r="M61" s="11" t="s">
        <v>769</v>
      </c>
      <c r="N61" s="11" t="s">
        <v>81</v>
      </c>
      <c r="O61" s="11" t="s">
        <v>141</v>
      </c>
      <c r="P61" s="11" t="s">
        <v>83</v>
      </c>
      <c r="Q61" s="11" t="s">
        <v>84</v>
      </c>
      <c r="R61" s="11" t="s">
        <v>83</v>
      </c>
      <c r="S61" s="11" t="s">
        <v>770</v>
      </c>
      <c r="T61" s="11" t="s">
        <v>86</v>
      </c>
      <c r="U61" s="11">
        <v>4</v>
      </c>
      <c r="V61" s="11" t="s">
        <v>84</v>
      </c>
      <c r="W61" s="11"/>
      <c r="X61" s="11" t="s">
        <v>771</v>
      </c>
      <c r="Y61" s="11" t="s">
        <v>772</v>
      </c>
      <c r="Z61" s="11" t="s">
        <v>773</v>
      </c>
      <c r="AA61" s="11" t="s">
        <v>774</v>
      </c>
      <c r="AB61" s="11" t="s">
        <v>775</v>
      </c>
      <c r="AC61" s="11" t="s">
        <v>776</v>
      </c>
      <c r="AD61" s="11" t="s">
        <v>93</v>
      </c>
      <c r="AE61" s="11"/>
      <c r="AF61" s="11"/>
      <c r="AG61" s="11"/>
      <c r="AH61" s="11"/>
      <c r="AI61" s="11" t="s">
        <v>94</v>
      </c>
      <c r="AJ61" s="11" t="s">
        <v>95</v>
      </c>
      <c r="AK61" s="11" t="s">
        <v>96</v>
      </c>
    </row>
    <row r="62" spans="1:37" ht="68.25" customHeight="1" x14ac:dyDescent="0.45">
      <c r="A62" s="10">
        <v>60</v>
      </c>
      <c r="B62" s="10" t="s">
        <v>777</v>
      </c>
      <c r="C62" s="10" t="s">
        <v>25</v>
      </c>
      <c r="D62" s="10" t="s">
        <v>778</v>
      </c>
      <c r="E62" s="10" t="s">
        <v>428</v>
      </c>
      <c r="F62" s="10" t="s">
        <v>18</v>
      </c>
      <c r="G62" s="10" t="s">
        <v>779</v>
      </c>
      <c r="H62" s="11" t="s">
        <v>780</v>
      </c>
      <c r="I62" s="11" t="s">
        <v>76</v>
      </c>
      <c r="J62" s="11" t="s">
        <v>781</v>
      </c>
      <c r="K62" s="11" t="s">
        <v>782</v>
      </c>
      <c r="L62" s="11" t="s">
        <v>783</v>
      </c>
      <c r="M62" s="11" t="s">
        <v>784</v>
      </c>
      <c r="N62" s="11" t="s">
        <v>81</v>
      </c>
      <c r="O62" s="11" t="s">
        <v>141</v>
      </c>
      <c r="P62" s="11" t="s">
        <v>83</v>
      </c>
      <c r="Q62" s="11" t="s">
        <v>84</v>
      </c>
      <c r="R62" s="11" t="s">
        <v>83</v>
      </c>
      <c r="S62" s="11" t="s">
        <v>785</v>
      </c>
      <c r="T62" s="11" t="s">
        <v>109</v>
      </c>
      <c r="U62" s="11">
        <v>4</v>
      </c>
      <c r="V62" s="11" t="s">
        <v>83</v>
      </c>
      <c r="W62" s="11"/>
      <c r="X62" s="11" t="s">
        <v>786</v>
      </c>
      <c r="Y62" s="11" t="s">
        <v>787</v>
      </c>
      <c r="Z62" s="11" t="s">
        <v>788</v>
      </c>
      <c r="AA62" s="11" t="s">
        <v>789</v>
      </c>
      <c r="AB62" s="11" t="s">
        <v>643</v>
      </c>
      <c r="AC62" s="11" t="s">
        <v>778</v>
      </c>
      <c r="AD62" s="11" t="s">
        <v>93</v>
      </c>
      <c r="AE62" s="11"/>
      <c r="AF62" s="11"/>
      <c r="AG62" s="11"/>
      <c r="AH62" s="11"/>
      <c r="AI62" s="11" t="s">
        <v>94</v>
      </c>
      <c r="AJ62" s="11" t="s">
        <v>95</v>
      </c>
      <c r="AK62" s="11" t="s">
        <v>96</v>
      </c>
    </row>
    <row r="63" spans="1:37" s="12" customFormat="1" ht="34.5" customHeight="1" x14ac:dyDescent="0.45">
      <c r="A63" s="12">
        <v>61</v>
      </c>
      <c r="B63" s="12" t="s">
        <v>790</v>
      </c>
      <c r="C63" s="12" t="s">
        <v>25</v>
      </c>
      <c r="D63" s="12" t="s">
        <v>791</v>
      </c>
      <c r="E63" s="12" t="s">
        <v>792</v>
      </c>
      <c r="G63" s="12" t="s">
        <v>287</v>
      </c>
      <c r="I63" s="12" t="s">
        <v>76</v>
      </c>
      <c r="Y63" s="12" t="s">
        <v>793</v>
      </c>
      <c r="AJ63" s="12" t="s">
        <v>95</v>
      </c>
      <c r="AK63" s="12" t="s">
        <v>358</v>
      </c>
    </row>
    <row r="64" spans="1:37" ht="79.5" customHeight="1" x14ac:dyDescent="0.45">
      <c r="A64" s="10">
        <v>62</v>
      </c>
      <c r="B64" s="10" t="s">
        <v>794</v>
      </c>
      <c r="C64" s="10" t="s">
        <v>25</v>
      </c>
      <c r="D64" s="10" t="s">
        <v>795</v>
      </c>
      <c r="E64" s="10" t="s">
        <v>479</v>
      </c>
      <c r="F64" s="10" t="s">
        <v>16</v>
      </c>
      <c r="G64" s="10" t="s">
        <v>796</v>
      </c>
      <c r="H64" s="11" t="s">
        <v>797</v>
      </c>
      <c r="I64" s="11" t="s">
        <v>76</v>
      </c>
      <c r="J64" s="11" t="s">
        <v>798</v>
      </c>
      <c r="K64" s="11" t="s">
        <v>799</v>
      </c>
      <c r="L64" s="11" t="s">
        <v>800</v>
      </c>
      <c r="M64" s="11" t="s">
        <v>801</v>
      </c>
      <c r="N64" s="11" t="s">
        <v>106</v>
      </c>
      <c r="O64" s="11" t="s">
        <v>106</v>
      </c>
      <c r="P64" s="11" t="s">
        <v>83</v>
      </c>
      <c r="Q64" s="11" t="s">
        <v>83</v>
      </c>
      <c r="R64" s="11" t="s">
        <v>83</v>
      </c>
      <c r="S64" s="11" t="s">
        <v>802</v>
      </c>
      <c r="T64" s="11" t="s">
        <v>86</v>
      </c>
      <c r="U64" s="11">
        <v>3</v>
      </c>
      <c r="V64" s="11" t="s">
        <v>84</v>
      </c>
      <c r="W64" s="11"/>
      <c r="X64" s="11" t="s">
        <v>126</v>
      </c>
      <c r="Y64" s="11" t="s">
        <v>803</v>
      </c>
      <c r="Z64" s="11" t="s">
        <v>804</v>
      </c>
      <c r="AA64" s="11" t="s">
        <v>805</v>
      </c>
      <c r="AB64" s="11" t="s">
        <v>130</v>
      </c>
      <c r="AC64" s="11" t="s">
        <v>806</v>
      </c>
      <c r="AD64" s="11" t="s">
        <v>93</v>
      </c>
      <c r="AE64" s="11"/>
      <c r="AF64" s="11"/>
      <c r="AG64" s="11"/>
      <c r="AH64" s="11"/>
      <c r="AI64" s="11" t="s">
        <v>94</v>
      </c>
      <c r="AJ64" s="11" t="s">
        <v>95</v>
      </c>
      <c r="AK64" s="11" t="s">
        <v>96</v>
      </c>
    </row>
    <row r="65" spans="1:37" ht="68.25" customHeight="1" x14ac:dyDescent="0.45">
      <c r="A65" s="10">
        <v>63</v>
      </c>
      <c r="B65" s="10" t="s">
        <v>807</v>
      </c>
      <c r="C65" s="10" t="s">
        <v>25</v>
      </c>
      <c r="D65" s="10" t="s">
        <v>808</v>
      </c>
      <c r="E65" s="10" t="s">
        <v>134</v>
      </c>
      <c r="F65" s="10" t="s">
        <v>14</v>
      </c>
      <c r="G65" s="10" t="s">
        <v>809</v>
      </c>
      <c r="H65" s="11" t="s">
        <v>810</v>
      </c>
      <c r="I65" s="11" t="s">
        <v>76</v>
      </c>
      <c r="J65" s="11" t="s">
        <v>811</v>
      </c>
      <c r="K65" s="11" t="s">
        <v>812</v>
      </c>
      <c r="L65" s="11" t="s">
        <v>813</v>
      </c>
      <c r="M65" s="11" t="s">
        <v>814</v>
      </c>
      <c r="N65" s="11" t="s">
        <v>106</v>
      </c>
      <c r="O65" s="11" t="s">
        <v>815</v>
      </c>
      <c r="P65" s="11" t="s">
        <v>83</v>
      </c>
      <c r="Q65" s="11" t="s">
        <v>84</v>
      </c>
      <c r="R65" s="11" t="s">
        <v>84</v>
      </c>
      <c r="S65" s="11" t="s">
        <v>816</v>
      </c>
      <c r="T65" s="11" t="s">
        <v>86</v>
      </c>
      <c r="U65" s="11">
        <v>2</v>
      </c>
      <c r="V65" s="11" t="s">
        <v>84</v>
      </c>
      <c r="W65" s="11"/>
      <c r="X65" s="11" t="s">
        <v>817</v>
      </c>
      <c r="Y65" s="11" t="s">
        <v>818</v>
      </c>
      <c r="Z65" s="11" t="s">
        <v>819</v>
      </c>
      <c r="AA65" s="11" t="s">
        <v>820</v>
      </c>
      <c r="AB65" s="11" t="s">
        <v>512</v>
      </c>
      <c r="AC65" s="11" t="s">
        <v>808</v>
      </c>
      <c r="AD65" s="11" t="s">
        <v>93</v>
      </c>
      <c r="AE65" s="11"/>
      <c r="AF65" s="11"/>
      <c r="AG65" s="11"/>
      <c r="AH65" s="11"/>
      <c r="AI65" s="11" t="s">
        <v>94</v>
      </c>
      <c r="AJ65" s="11" t="s">
        <v>95</v>
      </c>
      <c r="AK65" s="11" t="s">
        <v>96</v>
      </c>
    </row>
    <row r="66" spans="1:37" ht="68.25" customHeight="1" x14ac:dyDescent="0.45">
      <c r="A66" s="10">
        <v>64</v>
      </c>
      <c r="B66" s="10" t="s">
        <v>821</v>
      </c>
      <c r="C66" s="10" t="s">
        <v>25</v>
      </c>
      <c r="D66" s="10" t="s">
        <v>822</v>
      </c>
      <c r="E66" s="10" t="s">
        <v>73</v>
      </c>
      <c r="F66" s="10" t="s">
        <v>16</v>
      </c>
      <c r="G66" s="10" t="s">
        <v>823</v>
      </c>
      <c r="H66" s="11" t="s">
        <v>824</v>
      </c>
      <c r="I66" s="11" t="s">
        <v>76</v>
      </c>
      <c r="J66" s="11" t="s">
        <v>825</v>
      </c>
      <c r="K66" s="11" t="s">
        <v>826</v>
      </c>
      <c r="L66" s="11" t="s">
        <v>827</v>
      </c>
      <c r="M66" s="11" t="s">
        <v>828</v>
      </c>
      <c r="N66" s="11" t="s">
        <v>81</v>
      </c>
      <c r="O66" s="11" t="s">
        <v>141</v>
      </c>
      <c r="P66" s="11" t="s">
        <v>83</v>
      </c>
      <c r="Q66" s="11" t="s">
        <v>84</v>
      </c>
      <c r="R66" s="11" t="s">
        <v>83</v>
      </c>
      <c r="S66" s="11" t="s">
        <v>829</v>
      </c>
      <c r="T66" s="11" t="s">
        <v>86</v>
      </c>
      <c r="U66" s="11">
        <v>4</v>
      </c>
      <c r="V66" s="11" t="s">
        <v>84</v>
      </c>
      <c r="W66" s="11"/>
      <c r="X66" s="11" t="s">
        <v>830</v>
      </c>
      <c r="Y66" s="11" t="s">
        <v>831</v>
      </c>
      <c r="Z66" s="11" t="s">
        <v>832</v>
      </c>
      <c r="AA66" s="11" t="s">
        <v>833</v>
      </c>
      <c r="AB66" s="11" t="s">
        <v>439</v>
      </c>
      <c r="AC66" s="11" t="s">
        <v>834</v>
      </c>
      <c r="AD66" s="11" t="s">
        <v>93</v>
      </c>
      <c r="AE66" s="11"/>
      <c r="AF66" s="11"/>
      <c r="AG66" s="11"/>
      <c r="AH66" s="11"/>
      <c r="AI66" s="11" t="s">
        <v>94</v>
      </c>
      <c r="AJ66" s="11" t="s">
        <v>95</v>
      </c>
      <c r="AK66" s="11" t="s">
        <v>96</v>
      </c>
    </row>
    <row r="67" spans="1:37" ht="68.25" customHeight="1" x14ac:dyDescent="0.45">
      <c r="A67" s="10">
        <v>65</v>
      </c>
      <c r="B67" s="10" t="s">
        <v>835</v>
      </c>
      <c r="C67" s="10" t="s">
        <v>25</v>
      </c>
      <c r="D67" s="10" t="s">
        <v>836</v>
      </c>
      <c r="E67" s="10" t="s">
        <v>134</v>
      </c>
      <c r="F67" s="10" t="s">
        <v>18</v>
      </c>
      <c r="G67" s="10" t="s">
        <v>837</v>
      </c>
      <c r="H67" s="11" t="s">
        <v>838</v>
      </c>
      <c r="I67" s="11" t="s">
        <v>76</v>
      </c>
      <c r="J67" s="11" t="s">
        <v>839</v>
      </c>
      <c r="K67" s="11" t="s">
        <v>840</v>
      </c>
      <c r="L67" s="11" t="s">
        <v>841</v>
      </c>
      <c r="M67" s="11" t="s">
        <v>842</v>
      </c>
      <c r="N67" s="11" t="s">
        <v>81</v>
      </c>
      <c r="O67" s="11" t="s">
        <v>141</v>
      </c>
      <c r="P67" s="11" t="s">
        <v>83</v>
      </c>
      <c r="Q67" s="11" t="s">
        <v>84</v>
      </c>
      <c r="R67" s="11" t="s">
        <v>83</v>
      </c>
      <c r="S67" s="11" t="s">
        <v>843</v>
      </c>
      <c r="T67" s="11" t="s">
        <v>190</v>
      </c>
      <c r="U67" s="11">
        <v>4</v>
      </c>
      <c r="V67" s="11" t="s">
        <v>84</v>
      </c>
      <c r="W67" s="11"/>
      <c r="X67" s="11" t="s">
        <v>844</v>
      </c>
      <c r="Y67" s="11" t="s">
        <v>845</v>
      </c>
      <c r="Z67" s="11" t="s">
        <v>846</v>
      </c>
      <c r="AA67" s="11" t="s">
        <v>847</v>
      </c>
      <c r="AB67" s="11" t="s">
        <v>387</v>
      </c>
      <c r="AC67" s="11" t="s">
        <v>848</v>
      </c>
      <c r="AD67" s="11" t="s">
        <v>93</v>
      </c>
      <c r="AE67" s="11"/>
      <c r="AF67" s="11"/>
      <c r="AG67" s="11"/>
      <c r="AH67" s="11"/>
      <c r="AI67" s="11" t="s">
        <v>94</v>
      </c>
      <c r="AJ67" s="11" t="s">
        <v>95</v>
      </c>
      <c r="AK67" s="11" t="s">
        <v>96</v>
      </c>
    </row>
    <row r="68" spans="1:37" ht="68.25" customHeight="1" x14ac:dyDescent="0.45">
      <c r="A68" s="10">
        <v>66</v>
      </c>
      <c r="B68" s="10" t="s">
        <v>849</v>
      </c>
      <c r="C68" s="10" t="s">
        <v>25</v>
      </c>
      <c r="D68" s="10" t="s">
        <v>850</v>
      </c>
      <c r="E68" s="10" t="s">
        <v>291</v>
      </c>
      <c r="F68" s="10" t="s">
        <v>16</v>
      </c>
      <c r="G68" s="10" t="s">
        <v>851</v>
      </c>
      <c r="H68" s="11" t="s">
        <v>852</v>
      </c>
      <c r="I68" s="11" t="s">
        <v>76</v>
      </c>
      <c r="J68" s="11" t="s">
        <v>853</v>
      </c>
      <c r="K68" s="11" t="s">
        <v>854</v>
      </c>
      <c r="L68" s="11" t="s">
        <v>855</v>
      </c>
      <c r="M68" s="11" t="s">
        <v>856</v>
      </c>
      <c r="N68" s="11" t="s">
        <v>106</v>
      </c>
      <c r="O68" s="11" t="s">
        <v>106</v>
      </c>
      <c r="P68" s="11" t="s">
        <v>83</v>
      </c>
      <c r="Q68" s="11" t="s">
        <v>84</v>
      </c>
      <c r="R68" s="11" t="s">
        <v>84</v>
      </c>
      <c r="S68" s="11" t="s">
        <v>857</v>
      </c>
      <c r="T68" s="11" t="s">
        <v>86</v>
      </c>
      <c r="U68" s="11">
        <v>3</v>
      </c>
      <c r="V68" s="11" t="s">
        <v>84</v>
      </c>
      <c r="W68" s="11"/>
      <c r="X68" s="11" t="s">
        <v>858</v>
      </c>
      <c r="Y68" s="11" t="s">
        <v>859</v>
      </c>
      <c r="Z68" s="11" t="s">
        <v>860</v>
      </c>
      <c r="AA68" s="11" t="s">
        <v>861</v>
      </c>
      <c r="AB68" s="11" t="s">
        <v>705</v>
      </c>
      <c r="AC68" s="11" t="s">
        <v>862</v>
      </c>
      <c r="AD68" s="11" t="s">
        <v>93</v>
      </c>
      <c r="AE68" s="11"/>
      <c r="AF68" s="11"/>
      <c r="AG68" s="11"/>
      <c r="AH68" s="11"/>
      <c r="AI68" s="11" t="s">
        <v>94</v>
      </c>
      <c r="AJ68" s="11" t="s">
        <v>95</v>
      </c>
      <c r="AK68" s="11" t="s">
        <v>96</v>
      </c>
    </row>
    <row r="69" spans="1:37" ht="68.25" customHeight="1" x14ac:dyDescent="0.45">
      <c r="A69" s="10">
        <v>67</v>
      </c>
      <c r="B69" s="10" t="s">
        <v>863</v>
      </c>
      <c r="C69" s="10" t="s">
        <v>27</v>
      </c>
      <c r="D69" s="10" t="s">
        <v>864</v>
      </c>
      <c r="E69" s="10" t="s">
        <v>199</v>
      </c>
      <c r="F69" s="10" t="s">
        <v>18</v>
      </c>
      <c r="G69" s="10" t="s">
        <v>564</v>
      </c>
      <c r="H69" s="11" t="s">
        <v>865</v>
      </c>
      <c r="I69" s="11" t="s">
        <v>76</v>
      </c>
      <c r="J69" s="11" t="s">
        <v>866</v>
      </c>
      <c r="K69" s="11" t="s">
        <v>867</v>
      </c>
      <c r="L69" s="11" t="s">
        <v>868</v>
      </c>
      <c r="M69" s="11" t="s">
        <v>828</v>
      </c>
      <c r="N69" s="11" t="s">
        <v>81</v>
      </c>
      <c r="O69" s="11" t="s">
        <v>141</v>
      </c>
      <c r="P69" s="11" t="s">
        <v>83</v>
      </c>
      <c r="Q69" s="11" t="s">
        <v>84</v>
      </c>
      <c r="R69" s="11" t="s">
        <v>83</v>
      </c>
      <c r="S69" s="11" t="s">
        <v>869</v>
      </c>
      <c r="T69" s="11" t="s">
        <v>86</v>
      </c>
      <c r="U69" s="11">
        <v>4</v>
      </c>
      <c r="V69" s="11" t="s">
        <v>84</v>
      </c>
      <c r="W69" s="11"/>
      <c r="X69" s="11" t="s">
        <v>870</v>
      </c>
      <c r="Y69" s="11" t="s">
        <v>871</v>
      </c>
      <c r="Z69" s="11" t="s">
        <v>573</v>
      </c>
      <c r="AA69" s="11" t="s">
        <v>574</v>
      </c>
      <c r="AB69" s="11" t="s">
        <v>575</v>
      </c>
      <c r="AC69" s="11" t="s">
        <v>864</v>
      </c>
      <c r="AD69" s="11" t="s">
        <v>93</v>
      </c>
      <c r="AE69" s="11"/>
      <c r="AF69" s="11"/>
      <c r="AG69" s="11"/>
      <c r="AH69" s="11"/>
      <c r="AI69" s="11" t="s">
        <v>94</v>
      </c>
      <c r="AJ69" s="11" t="s">
        <v>95</v>
      </c>
      <c r="AK69" s="11" t="s">
        <v>96</v>
      </c>
    </row>
    <row r="70" spans="1:37" ht="79.5" customHeight="1" x14ac:dyDescent="0.45">
      <c r="A70" s="10">
        <v>68</v>
      </c>
      <c r="B70" s="10" t="s">
        <v>872</v>
      </c>
      <c r="C70" s="10" t="s">
        <v>27</v>
      </c>
      <c r="D70" s="10" t="s">
        <v>873</v>
      </c>
      <c r="E70" s="10" t="s">
        <v>73</v>
      </c>
      <c r="F70" s="10" t="s">
        <v>18</v>
      </c>
      <c r="G70" s="10" t="s">
        <v>647</v>
      </c>
      <c r="H70" s="11" t="s">
        <v>874</v>
      </c>
      <c r="I70" s="11" t="s">
        <v>76</v>
      </c>
      <c r="J70" s="11" t="s">
        <v>875</v>
      </c>
      <c r="K70" s="11" t="s">
        <v>876</v>
      </c>
      <c r="L70" s="11" t="s">
        <v>877</v>
      </c>
      <c r="M70" s="11" t="s">
        <v>171</v>
      </c>
      <c r="N70" s="11" t="s">
        <v>81</v>
      </c>
      <c r="O70" s="11" t="s">
        <v>141</v>
      </c>
      <c r="P70" s="11" t="s">
        <v>83</v>
      </c>
      <c r="Q70" s="11" t="s">
        <v>84</v>
      </c>
      <c r="R70" s="11" t="s">
        <v>83</v>
      </c>
      <c r="S70" s="11" t="s">
        <v>207</v>
      </c>
      <c r="T70" s="11" t="s">
        <v>86</v>
      </c>
      <c r="U70" s="11">
        <v>4</v>
      </c>
      <c r="V70" s="11" t="s">
        <v>83</v>
      </c>
      <c r="W70" s="11"/>
      <c r="X70" s="11" t="s">
        <v>878</v>
      </c>
      <c r="Y70" s="11" t="s">
        <v>879</v>
      </c>
      <c r="Z70" s="11" t="s">
        <v>880</v>
      </c>
      <c r="AA70" s="11" t="s">
        <v>881</v>
      </c>
      <c r="AB70" s="11" t="s">
        <v>882</v>
      </c>
      <c r="AC70" s="11" t="s">
        <v>883</v>
      </c>
      <c r="AD70" s="11" t="s">
        <v>93</v>
      </c>
      <c r="AE70" s="11"/>
      <c r="AF70" s="11"/>
      <c r="AG70" s="11"/>
      <c r="AH70" s="11"/>
      <c r="AI70" s="11" t="s">
        <v>94</v>
      </c>
      <c r="AJ70" s="11" t="s">
        <v>95</v>
      </c>
      <c r="AK70" s="11" t="s">
        <v>96</v>
      </c>
    </row>
    <row r="71" spans="1:37" ht="79.5" customHeight="1" x14ac:dyDescent="0.45">
      <c r="A71" s="10">
        <v>69</v>
      </c>
      <c r="B71" s="10" t="s">
        <v>884</v>
      </c>
      <c r="C71" s="10" t="s">
        <v>27</v>
      </c>
      <c r="D71" s="10" t="s">
        <v>885</v>
      </c>
      <c r="E71" s="10" t="s">
        <v>886</v>
      </c>
      <c r="F71" s="10" t="s">
        <v>16</v>
      </c>
      <c r="G71" s="10" t="s">
        <v>887</v>
      </c>
      <c r="H71" s="11" t="s">
        <v>888</v>
      </c>
      <c r="I71" s="11" t="s">
        <v>101</v>
      </c>
      <c r="J71" s="11" t="s">
        <v>889</v>
      </c>
      <c r="K71" s="11" t="s">
        <v>890</v>
      </c>
      <c r="L71" s="11" t="s">
        <v>891</v>
      </c>
      <c r="M71" s="11" t="s">
        <v>892</v>
      </c>
      <c r="N71" s="11" t="s">
        <v>81</v>
      </c>
      <c r="O71" s="11" t="s">
        <v>206</v>
      </c>
      <c r="P71" s="11" t="s">
        <v>83</v>
      </c>
      <c r="Q71" s="11" t="s">
        <v>83</v>
      </c>
      <c r="R71" s="11" t="s">
        <v>83</v>
      </c>
      <c r="S71" s="11" t="s">
        <v>893</v>
      </c>
      <c r="T71" s="11" t="s">
        <v>86</v>
      </c>
      <c r="U71" s="11">
        <v>4</v>
      </c>
      <c r="V71" s="11" t="s">
        <v>83</v>
      </c>
      <c r="W71" s="11"/>
      <c r="X71" s="11" t="s">
        <v>894</v>
      </c>
      <c r="Y71" s="11" t="s">
        <v>895</v>
      </c>
      <c r="Z71" s="11" t="s">
        <v>896</v>
      </c>
      <c r="AA71" s="11" t="s">
        <v>656</v>
      </c>
      <c r="AB71" s="11" t="s">
        <v>324</v>
      </c>
      <c r="AC71" s="11" t="s">
        <v>897</v>
      </c>
      <c r="AD71" s="11" t="s">
        <v>93</v>
      </c>
      <c r="AE71" s="11"/>
      <c r="AF71" s="11"/>
      <c r="AG71" s="11"/>
      <c r="AH71" s="11"/>
      <c r="AI71" s="11" t="s">
        <v>94</v>
      </c>
      <c r="AJ71" s="11" t="s">
        <v>95</v>
      </c>
      <c r="AK71" s="11" t="s">
        <v>96</v>
      </c>
    </row>
    <row r="72" spans="1:37" s="12" customFormat="1" ht="23.25" customHeight="1" x14ac:dyDescent="0.45">
      <c r="A72" s="12">
        <v>70</v>
      </c>
      <c r="B72" s="12" t="s">
        <v>898</v>
      </c>
      <c r="C72" s="12" t="s">
        <v>27</v>
      </c>
      <c r="D72" s="12" t="s">
        <v>899</v>
      </c>
      <c r="E72" s="12" t="s">
        <v>291</v>
      </c>
      <c r="G72" s="12" t="s">
        <v>900</v>
      </c>
      <c r="I72" s="12" t="s">
        <v>76</v>
      </c>
      <c r="Y72" s="12" t="s">
        <v>901</v>
      </c>
      <c r="AJ72" s="12" t="s">
        <v>95</v>
      </c>
      <c r="AK72" s="12" t="s">
        <v>358</v>
      </c>
    </row>
    <row r="73" spans="1:37" ht="68.25" customHeight="1" x14ac:dyDescent="0.45">
      <c r="A73" s="10">
        <v>71</v>
      </c>
      <c r="B73" s="10" t="s">
        <v>902</v>
      </c>
      <c r="C73" s="10" t="s">
        <v>27</v>
      </c>
      <c r="D73" s="10" t="s">
        <v>903</v>
      </c>
      <c r="E73" s="10" t="s">
        <v>408</v>
      </c>
      <c r="F73" s="10" t="s">
        <v>16</v>
      </c>
      <c r="G73" s="10" t="s">
        <v>904</v>
      </c>
      <c r="H73" s="11" t="s">
        <v>905</v>
      </c>
      <c r="I73" s="11" t="s">
        <v>76</v>
      </c>
      <c r="J73" s="11" t="s">
        <v>906</v>
      </c>
      <c r="K73" s="11" t="s">
        <v>907</v>
      </c>
      <c r="L73" s="11" t="s">
        <v>908</v>
      </c>
      <c r="M73" s="11" t="s">
        <v>909</v>
      </c>
      <c r="N73" s="11" t="s">
        <v>106</v>
      </c>
      <c r="O73" s="11" t="s">
        <v>106</v>
      </c>
      <c r="P73" s="11" t="s">
        <v>83</v>
      </c>
      <c r="Q73" s="11" t="s">
        <v>84</v>
      </c>
      <c r="R73" s="11" t="s">
        <v>84</v>
      </c>
      <c r="S73" s="11" t="s">
        <v>910</v>
      </c>
      <c r="T73" s="11" t="s">
        <v>86</v>
      </c>
      <c r="U73" s="11">
        <v>3</v>
      </c>
      <c r="V73" s="11" t="s">
        <v>84</v>
      </c>
      <c r="W73" s="11"/>
      <c r="X73" s="11" t="s">
        <v>911</v>
      </c>
      <c r="Y73" s="11" t="s">
        <v>912</v>
      </c>
      <c r="Z73" s="11" t="s">
        <v>913</v>
      </c>
      <c r="AA73" s="11" t="s">
        <v>914</v>
      </c>
      <c r="AB73" s="11" t="s">
        <v>705</v>
      </c>
      <c r="AC73" s="11" t="s">
        <v>915</v>
      </c>
      <c r="AD73" s="11" t="s">
        <v>93</v>
      </c>
      <c r="AE73" s="11"/>
      <c r="AF73" s="11"/>
      <c r="AG73" s="11"/>
      <c r="AH73" s="11"/>
      <c r="AI73" s="11" t="s">
        <v>94</v>
      </c>
      <c r="AJ73" s="11" t="s">
        <v>95</v>
      </c>
      <c r="AK73" s="11" t="s">
        <v>96</v>
      </c>
    </row>
    <row r="74" spans="1:37" ht="68.25" customHeight="1" x14ac:dyDescent="0.45">
      <c r="A74" s="10">
        <v>72</v>
      </c>
      <c r="B74" s="10" t="s">
        <v>916</v>
      </c>
      <c r="C74" s="10" t="s">
        <v>28</v>
      </c>
      <c r="D74" s="10" t="s">
        <v>917</v>
      </c>
      <c r="E74" s="10" t="s">
        <v>918</v>
      </c>
      <c r="F74" s="10" t="s">
        <v>18</v>
      </c>
      <c r="G74" s="10" t="s">
        <v>919</v>
      </c>
      <c r="H74" s="11" t="s">
        <v>920</v>
      </c>
      <c r="I74" s="11" t="s">
        <v>76</v>
      </c>
      <c r="J74" s="11" t="s">
        <v>921</v>
      </c>
      <c r="K74" s="11" t="s">
        <v>922</v>
      </c>
      <c r="L74" s="11" t="s">
        <v>923</v>
      </c>
      <c r="M74" s="11" t="s">
        <v>924</v>
      </c>
      <c r="N74" s="11" t="s">
        <v>81</v>
      </c>
      <c r="O74" s="11" t="s">
        <v>141</v>
      </c>
      <c r="P74" s="11" t="s">
        <v>83</v>
      </c>
      <c r="Q74" s="11" t="s">
        <v>83</v>
      </c>
      <c r="R74" s="11" t="s">
        <v>83</v>
      </c>
      <c r="S74" s="11" t="s">
        <v>925</v>
      </c>
      <c r="T74" s="11" t="s">
        <v>86</v>
      </c>
      <c r="U74" s="11">
        <v>4</v>
      </c>
      <c r="V74" s="11" t="s">
        <v>84</v>
      </c>
      <c r="W74" s="11"/>
      <c r="X74" s="11" t="s">
        <v>926</v>
      </c>
      <c r="Y74" s="11" t="s">
        <v>927</v>
      </c>
      <c r="Z74" s="11" t="s">
        <v>928</v>
      </c>
      <c r="AA74" s="11" t="s">
        <v>929</v>
      </c>
      <c r="AB74" s="11" t="s">
        <v>930</v>
      </c>
      <c r="AC74" s="11" t="s">
        <v>931</v>
      </c>
      <c r="AD74" s="11" t="s">
        <v>93</v>
      </c>
      <c r="AE74" s="11"/>
      <c r="AF74" s="11"/>
      <c r="AG74" s="11"/>
      <c r="AH74" s="11"/>
      <c r="AI74" s="11" t="s">
        <v>94</v>
      </c>
      <c r="AJ74" s="11" t="s">
        <v>95</v>
      </c>
      <c r="AK74" s="11" t="s">
        <v>96</v>
      </c>
    </row>
    <row r="75" spans="1:37" ht="79.5" customHeight="1" x14ac:dyDescent="0.45">
      <c r="A75" s="10">
        <v>73</v>
      </c>
      <c r="B75" s="10" t="s">
        <v>932</v>
      </c>
      <c r="C75" s="10" t="s">
        <v>27</v>
      </c>
      <c r="D75" s="10" t="s">
        <v>933</v>
      </c>
      <c r="E75" s="10" t="s">
        <v>934</v>
      </c>
      <c r="F75" s="10" t="s">
        <v>16</v>
      </c>
      <c r="G75" s="10" t="s">
        <v>935</v>
      </c>
      <c r="H75" s="11" t="s">
        <v>936</v>
      </c>
      <c r="I75" s="11" t="s">
        <v>76</v>
      </c>
      <c r="J75" s="11" t="s">
        <v>937</v>
      </c>
      <c r="K75" s="11" t="s">
        <v>938</v>
      </c>
      <c r="L75" s="11" t="s">
        <v>934</v>
      </c>
      <c r="M75" s="11" t="s">
        <v>939</v>
      </c>
      <c r="N75" s="11" t="s">
        <v>106</v>
      </c>
      <c r="O75" s="11" t="s">
        <v>106</v>
      </c>
      <c r="P75" s="11" t="s">
        <v>83</v>
      </c>
      <c r="Q75" s="11" t="s">
        <v>83</v>
      </c>
      <c r="R75" s="11" t="s">
        <v>83</v>
      </c>
      <c r="S75" s="11" t="s">
        <v>940</v>
      </c>
      <c r="T75" s="11" t="s">
        <v>86</v>
      </c>
      <c r="U75" s="11">
        <v>3</v>
      </c>
      <c r="V75" s="11" t="s">
        <v>84</v>
      </c>
      <c r="W75" s="11"/>
      <c r="X75" s="11" t="s">
        <v>941</v>
      </c>
      <c r="Y75" s="11" t="s">
        <v>942</v>
      </c>
      <c r="Z75" s="11" t="s">
        <v>943</v>
      </c>
      <c r="AA75" s="11" t="s">
        <v>944</v>
      </c>
      <c r="AB75" s="11" t="s">
        <v>945</v>
      </c>
      <c r="AC75" s="11" t="s">
        <v>946</v>
      </c>
      <c r="AD75" s="11" t="s">
        <v>93</v>
      </c>
      <c r="AE75" s="11"/>
      <c r="AF75" s="11"/>
      <c r="AG75" s="11"/>
      <c r="AH75" s="11"/>
      <c r="AI75" s="11" t="s">
        <v>94</v>
      </c>
      <c r="AJ75" s="11" t="s">
        <v>95</v>
      </c>
      <c r="AK75" s="11" t="s">
        <v>96</v>
      </c>
    </row>
    <row r="76" spans="1:37" ht="15" customHeight="1" x14ac:dyDescent="0.45">
      <c r="A76" s="12">
        <v>74</v>
      </c>
      <c r="B76" s="12" t="s">
        <v>947</v>
      </c>
      <c r="C76" s="12" t="s">
        <v>27</v>
      </c>
      <c r="D76" s="12" t="s">
        <v>948</v>
      </c>
      <c r="E76" s="12" t="s">
        <v>291</v>
      </c>
      <c r="F76" s="12"/>
      <c r="G76" s="12" t="s">
        <v>949</v>
      </c>
      <c r="H76" s="12"/>
      <c r="I76" s="12" t="s">
        <v>76</v>
      </c>
      <c r="J76" s="12"/>
      <c r="K76" s="12"/>
      <c r="L76" s="12"/>
      <c r="M76" s="12"/>
      <c r="N76" s="12"/>
      <c r="O76" s="12"/>
      <c r="P76" s="12"/>
      <c r="Q76" s="12"/>
      <c r="R76" s="12"/>
      <c r="S76" s="12"/>
      <c r="T76" s="12"/>
      <c r="U76" s="12"/>
      <c r="V76" s="12"/>
      <c r="W76" s="12"/>
      <c r="X76" s="12"/>
      <c r="Y76" s="12" t="s">
        <v>293</v>
      </c>
      <c r="Z76" s="12"/>
      <c r="AA76" s="12"/>
      <c r="AB76" s="12"/>
      <c r="AC76" s="12"/>
      <c r="AD76" s="12"/>
      <c r="AE76" s="12"/>
      <c r="AF76" s="12"/>
      <c r="AG76" s="12"/>
      <c r="AH76" s="12"/>
      <c r="AI76" s="12"/>
      <c r="AJ76" s="12" t="s">
        <v>95</v>
      </c>
      <c r="AK76" s="12" t="s">
        <v>217</v>
      </c>
    </row>
    <row r="77" spans="1:37" ht="68.25" customHeight="1" x14ac:dyDescent="0.45">
      <c r="A77" s="10">
        <v>75</v>
      </c>
      <c r="B77" s="10" t="s">
        <v>950</v>
      </c>
      <c r="C77" s="10" t="s">
        <v>28</v>
      </c>
      <c r="D77" s="10" t="s">
        <v>951</v>
      </c>
      <c r="E77" s="10" t="s">
        <v>311</v>
      </c>
      <c r="F77" s="10" t="s">
        <v>18</v>
      </c>
      <c r="G77" s="10" t="s">
        <v>312</v>
      </c>
      <c r="H77" s="11" t="s">
        <v>952</v>
      </c>
      <c r="I77" s="11" t="s">
        <v>76</v>
      </c>
      <c r="J77" s="11" t="s">
        <v>953</v>
      </c>
      <c r="K77" s="11" t="s">
        <v>954</v>
      </c>
      <c r="L77" s="11" t="s">
        <v>955</v>
      </c>
      <c r="M77" s="11" t="s">
        <v>956</v>
      </c>
      <c r="N77" s="11" t="s">
        <v>81</v>
      </c>
      <c r="O77" s="11" t="s">
        <v>448</v>
      </c>
      <c r="P77" s="11" t="s">
        <v>83</v>
      </c>
      <c r="Q77" s="11" t="s">
        <v>84</v>
      </c>
      <c r="R77" s="11" t="s">
        <v>83</v>
      </c>
      <c r="S77" s="11" t="s">
        <v>957</v>
      </c>
      <c r="T77" s="11" t="s">
        <v>86</v>
      </c>
      <c r="U77" s="11">
        <v>5</v>
      </c>
      <c r="V77" s="11" t="s">
        <v>84</v>
      </c>
      <c r="W77" s="11"/>
      <c r="X77" s="11" t="s">
        <v>958</v>
      </c>
      <c r="Y77" s="11" t="s">
        <v>959</v>
      </c>
      <c r="Z77" s="11" t="s">
        <v>960</v>
      </c>
      <c r="AA77" s="11" t="s">
        <v>961</v>
      </c>
      <c r="AB77" s="11" t="s">
        <v>387</v>
      </c>
      <c r="AC77" s="11" t="s">
        <v>962</v>
      </c>
      <c r="AD77" s="11" t="s">
        <v>93</v>
      </c>
      <c r="AE77" s="11"/>
      <c r="AF77" s="11"/>
      <c r="AG77" s="11"/>
      <c r="AH77" s="11"/>
      <c r="AI77" s="11" t="s">
        <v>94</v>
      </c>
      <c r="AJ77" s="11" t="s">
        <v>95</v>
      </c>
      <c r="AK77" s="11" t="s">
        <v>96</v>
      </c>
    </row>
    <row r="78" spans="1:37" ht="68.25" customHeight="1" x14ac:dyDescent="0.45">
      <c r="A78" s="10">
        <v>76</v>
      </c>
      <c r="B78" s="10" t="s">
        <v>963</v>
      </c>
      <c r="C78" s="10" t="s">
        <v>28</v>
      </c>
      <c r="D78" s="10" t="s">
        <v>964</v>
      </c>
      <c r="E78" s="10" t="s">
        <v>265</v>
      </c>
      <c r="F78" s="10" t="s">
        <v>18</v>
      </c>
      <c r="G78" s="10" t="s">
        <v>965</v>
      </c>
      <c r="H78" s="11" t="s">
        <v>966</v>
      </c>
      <c r="I78" s="11" t="s">
        <v>76</v>
      </c>
      <c r="J78" s="11" t="s">
        <v>967</v>
      </c>
      <c r="K78" s="11" t="s">
        <v>968</v>
      </c>
      <c r="L78" s="11" t="s">
        <v>969</v>
      </c>
      <c r="M78" s="11" t="s">
        <v>970</v>
      </c>
      <c r="N78" s="11" t="s">
        <v>81</v>
      </c>
      <c r="O78" s="11" t="s">
        <v>206</v>
      </c>
      <c r="P78" s="11" t="s">
        <v>83</v>
      </c>
      <c r="Q78" s="11" t="s">
        <v>84</v>
      </c>
      <c r="R78" s="11" t="s">
        <v>83</v>
      </c>
      <c r="S78" s="11" t="s">
        <v>971</v>
      </c>
      <c r="T78" s="11" t="s">
        <v>86</v>
      </c>
      <c r="U78" s="11">
        <v>4</v>
      </c>
      <c r="V78" s="11" t="s">
        <v>83</v>
      </c>
      <c r="W78" s="11"/>
      <c r="X78" s="11" t="s">
        <v>972</v>
      </c>
      <c r="Y78" s="11" t="s">
        <v>973</v>
      </c>
      <c r="Z78" s="11" t="s">
        <v>974</v>
      </c>
      <c r="AA78" s="11" t="s">
        <v>975</v>
      </c>
      <c r="AB78" s="11" t="s">
        <v>976</v>
      </c>
      <c r="AC78" s="11" t="s">
        <v>977</v>
      </c>
      <c r="AD78" s="11" t="s">
        <v>93</v>
      </c>
      <c r="AE78" s="11"/>
      <c r="AF78" s="11"/>
      <c r="AG78" s="11"/>
      <c r="AH78" s="11"/>
      <c r="AI78" s="11" t="s">
        <v>94</v>
      </c>
      <c r="AJ78" s="11" t="s">
        <v>95</v>
      </c>
      <c r="AK78" s="11" t="s">
        <v>96</v>
      </c>
    </row>
    <row r="79" spans="1:37" ht="68.25" customHeight="1" x14ac:dyDescent="0.45">
      <c r="A79" s="10">
        <v>77</v>
      </c>
      <c r="B79" s="10" t="s">
        <v>978</v>
      </c>
      <c r="C79" s="10" t="s">
        <v>29</v>
      </c>
      <c r="D79" s="10" t="s">
        <v>979</v>
      </c>
      <c r="E79" s="10" t="s">
        <v>291</v>
      </c>
      <c r="F79" s="10" t="s">
        <v>18</v>
      </c>
      <c r="G79" s="10" t="s">
        <v>980</v>
      </c>
      <c r="H79" s="11" t="s">
        <v>981</v>
      </c>
      <c r="I79" s="11" t="s">
        <v>76</v>
      </c>
      <c r="J79" s="11" t="s">
        <v>982</v>
      </c>
      <c r="K79" s="11" t="s">
        <v>983</v>
      </c>
      <c r="L79" s="11" t="s">
        <v>984</v>
      </c>
      <c r="M79" s="11" t="s">
        <v>985</v>
      </c>
      <c r="N79" s="11" t="s">
        <v>81</v>
      </c>
      <c r="O79" s="11" t="s">
        <v>141</v>
      </c>
      <c r="P79" s="11" t="s">
        <v>83</v>
      </c>
      <c r="Q79" s="11" t="s">
        <v>83</v>
      </c>
      <c r="R79" s="11" t="s">
        <v>83</v>
      </c>
      <c r="S79" s="11" t="s">
        <v>986</v>
      </c>
      <c r="T79" s="11" t="s">
        <v>86</v>
      </c>
      <c r="U79" s="11">
        <v>4</v>
      </c>
      <c r="V79" s="11" t="s">
        <v>83</v>
      </c>
      <c r="W79" s="11"/>
      <c r="X79" s="11" t="s">
        <v>987</v>
      </c>
      <c r="Y79" s="11" t="s">
        <v>988</v>
      </c>
      <c r="Z79" s="11" t="s">
        <v>989</v>
      </c>
      <c r="AA79" s="11" t="s">
        <v>990</v>
      </c>
      <c r="AB79" s="11" t="s">
        <v>719</v>
      </c>
      <c r="AC79" s="11" t="s">
        <v>991</v>
      </c>
      <c r="AD79" s="11" t="s">
        <v>93</v>
      </c>
      <c r="AE79" s="11"/>
      <c r="AF79" s="11"/>
      <c r="AG79" s="11"/>
      <c r="AH79" s="11"/>
      <c r="AI79" s="11" t="s">
        <v>94</v>
      </c>
      <c r="AJ79" s="11" t="s">
        <v>95</v>
      </c>
      <c r="AK79" s="11" t="s">
        <v>96</v>
      </c>
    </row>
    <row r="80" spans="1:37" ht="68.25" customHeight="1" x14ac:dyDescent="0.45">
      <c r="A80" s="10">
        <v>78</v>
      </c>
      <c r="B80" s="10" t="s">
        <v>992</v>
      </c>
      <c r="C80" s="10" t="s">
        <v>29</v>
      </c>
      <c r="D80" s="10" t="s">
        <v>993</v>
      </c>
      <c r="E80" s="10" t="s">
        <v>73</v>
      </c>
      <c r="F80" s="10" t="s">
        <v>16</v>
      </c>
      <c r="G80" s="10" t="s">
        <v>994</v>
      </c>
      <c r="H80" s="11" t="s">
        <v>995</v>
      </c>
      <c r="I80" s="11" t="s">
        <v>76</v>
      </c>
      <c r="J80" s="11" t="s">
        <v>996</v>
      </c>
      <c r="K80" s="11" t="s">
        <v>997</v>
      </c>
      <c r="L80" s="11" t="s">
        <v>698</v>
      </c>
      <c r="M80" s="11" t="s">
        <v>998</v>
      </c>
      <c r="N80" s="11" t="s">
        <v>81</v>
      </c>
      <c r="O80" s="11" t="s">
        <v>141</v>
      </c>
      <c r="P80" s="11" t="s">
        <v>83</v>
      </c>
      <c r="Q80" s="11" t="s">
        <v>84</v>
      </c>
      <c r="R80" s="11" t="s">
        <v>84</v>
      </c>
      <c r="S80" s="11" t="s">
        <v>700</v>
      </c>
      <c r="T80" s="11" t="s">
        <v>86</v>
      </c>
      <c r="U80" s="11">
        <v>3</v>
      </c>
      <c r="V80" s="11" t="s">
        <v>84</v>
      </c>
      <c r="W80" s="11"/>
      <c r="X80" s="11" t="s">
        <v>999</v>
      </c>
      <c r="Y80" s="11" t="s">
        <v>1000</v>
      </c>
      <c r="Z80" s="11" t="s">
        <v>1001</v>
      </c>
      <c r="AA80" s="11" t="s">
        <v>1002</v>
      </c>
      <c r="AB80" s="11" t="s">
        <v>705</v>
      </c>
      <c r="AC80" s="11" t="s">
        <v>1003</v>
      </c>
      <c r="AD80" s="11" t="s">
        <v>93</v>
      </c>
      <c r="AE80" s="11"/>
      <c r="AF80" s="11"/>
      <c r="AG80" s="11"/>
      <c r="AH80" s="11"/>
      <c r="AI80" s="11" t="s">
        <v>94</v>
      </c>
      <c r="AJ80" s="11" t="s">
        <v>95</v>
      </c>
      <c r="AK80" s="11" t="s">
        <v>96</v>
      </c>
    </row>
    <row r="81" spans="1:37" ht="68.25" customHeight="1" x14ac:dyDescent="0.45">
      <c r="A81" s="10">
        <v>79</v>
      </c>
      <c r="B81" s="10" t="s">
        <v>1004</v>
      </c>
      <c r="C81" s="10" t="s">
        <v>29</v>
      </c>
      <c r="D81" s="10" t="s">
        <v>1005</v>
      </c>
      <c r="E81" s="10" t="s">
        <v>1006</v>
      </c>
      <c r="F81" s="10" t="s">
        <v>16</v>
      </c>
      <c r="G81" s="10" t="s">
        <v>287</v>
      </c>
      <c r="H81" s="11" t="s">
        <v>1007</v>
      </c>
      <c r="I81" s="11" t="s">
        <v>76</v>
      </c>
      <c r="J81" s="11" t="s">
        <v>1008</v>
      </c>
      <c r="K81" s="11" t="s">
        <v>1009</v>
      </c>
      <c r="L81" s="11" t="s">
        <v>1010</v>
      </c>
      <c r="M81" s="11" t="s">
        <v>1011</v>
      </c>
      <c r="N81" s="11" t="s">
        <v>485</v>
      </c>
      <c r="O81" s="11" t="s">
        <v>1012</v>
      </c>
      <c r="P81" s="11" t="s">
        <v>83</v>
      </c>
      <c r="Q81" s="11" t="s">
        <v>84</v>
      </c>
      <c r="R81" s="11" t="s">
        <v>84</v>
      </c>
      <c r="S81" s="11" t="s">
        <v>1013</v>
      </c>
      <c r="T81" s="11" t="s">
        <v>86</v>
      </c>
      <c r="U81" s="11">
        <v>3</v>
      </c>
      <c r="V81" s="11" t="s">
        <v>84</v>
      </c>
      <c r="W81" s="11"/>
      <c r="X81" s="11" t="s">
        <v>229</v>
      </c>
      <c r="Y81" s="11" t="s">
        <v>1014</v>
      </c>
      <c r="Z81" s="11" t="s">
        <v>1015</v>
      </c>
      <c r="AA81" s="11" t="s">
        <v>1016</v>
      </c>
      <c r="AB81" s="11" t="s">
        <v>657</v>
      </c>
      <c r="AC81" s="11" t="s">
        <v>1017</v>
      </c>
      <c r="AD81" s="11" t="s">
        <v>93</v>
      </c>
      <c r="AE81" s="11"/>
      <c r="AF81" s="11"/>
      <c r="AG81" s="11"/>
      <c r="AH81" s="11"/>
      <c r="AI81" s="11" t="s">
        <v>94</v>
      </c>
      <c r="AJ81" s="11" t="s">
        <v>95</v>
      </c>
      <c r="AK81" s="11" t="s">
        <v>96</v>
      </c>
    </row>
    <row r="82" spans="1:37" ht="15" customHeight="1" x14ac:dyDescent="0.45">
      <c r="A82" s="12">
        <v>80</v>
      </c>
      <c r="B82" s="12" t="s">
        <v>1018</v>
      </c>
      <c r="C82" s="12" t="s">
        <v>29</v>
      </c>
      <c r="D82" s="12" t="s">
        <v>1019</v>
      </c>
      <c r="E82" s="12" t="s">
        <v>709</v>
      </c>
      <c r="F82" s="12"/>
      <c r="G82" s="12" t="s">
        <v>1020</v>
      </c>
      <c r="H82" s="12"/>
      <c r="I82" s="12" t="s">
        <v>76</v>
      </c>
      <c r="J82" s="12"/>
      <c r="K82" s="12"/>
      <c r="L82" s="12"/>
      <c r="M82" s="12"/>
      <c r="N82" s="12"/>
      <c r="O82" s="12"/>
      <c r="P82" s="12"/>
      <c r="Q82" s="12"/>
      <c r="R82" s="12"/>
      <c r="S82" s="12"/>
      <c r="T82" s="12"/>
      <c r="U82" s="12"/>
      <c r="V82" s="12"/>
      <c r="W82" s="12"/>
      <c r="X82" s="12"/>
      <c r="Y82" s="12" t="s">
        <v>1021</v>
      </c>
      <c r="Z82" s="12"/>
      <c r="AA82" s="12"/>
      <c r="AB82" s="12"/>
      <c r="AC82" s="12"/>
      <c r="AD82" s="12"/>
      <c r="AE82" s="12"/>
      <c r="AF82" s="12"/>
      <c r="AG82" s="12"/>
      <c r="AH82" s="12"/>
      <c r="AI82" s="12"/>
      <c r="AJ82" s="12" t="s">
        <v>95</v>
      </c>
      <c r="AK82" s="12" t="s">
        <v>217</v>
      </c>
    </row>
    <row r="83" spans="1:37" ht="15" customHeight="1" x14ac:dyDescent="0.45">
      <c r="A83" s="12">
        <v>81</v>
      </c>
      <c r="B83" s="12" t="s">
        <v>1022</v>
      </c>
      <c r="C83" s="12" t="s">
        <v>30</v>
      </c>
      <c r="D83" s="12" t="s">
        <v>1023</v>
      </c>
      <c r="E83" s="12" t="s">
        <v>270</v>
      </c>
      <c r="F83" s="12"/>
      <c r="G83" s="12" t="s">
        <v>1024</v>
      </c>
      <c r="H83" s="12"/>
      <c r="I83" s="12" t="s">
        <v>76</v>
      </c>
      <c r="J83" s="12"/>
      <c r="K83" s="12"/>
      <c r="L83" s="12"/>
      <c r="M83" s="12"/>
      <c r="N83" s="12"/>
      <c r="O83" s="12"/>
      <c r="P83" s="12"/>
      <c r="Q83" s="12"/>
      <c r="R83" s="12"/>
      <c r="S83" s="12"/>
      <c r="T83" s="12"/>
      <c r="U83" s="12"/>
      <c r="V83" s="12"/>
      <c r="W83" s="12"/>
      <c r="X83" s="12"/>
      <c r="Y83" s="12" t="s">
        <v>725</v>
      </c>
      <c r="Z83" s="12"/>
      <c r="AA83" s="12"/>
      <c r="AB83" s="12"/>
      <c r="AC83" s="12"/>
      <c r="AD83" s="12"/>
      <c r="AE83" s="12"/>
      <c r="AF83" s="12"/>
      <c r="AG83" s="12"/>
      <c r="AH83" s="12"/>
      <c r="AI83" s="12"/>
      <c r="AJ83" s="12" t="s">
        <v>95</v>
      </c>
      <c r="AK83" s="12" t="s">
        <v>217</v>
      </c>
    </row>
    <row r="84" spans="1:37" s="12" customFormat="1" ht="23.25" customHeight="1" x14ac:dyDescent="0.45">
      <c r="A84" s="12">
        <v>82</v>
      </c>
      <c r="B84" s="12" t="s">
        <v>1025</v>
      </c>
      <c r="C84" s="12" t="s">
        <v>29</v>
      </c>
      <c r="D84" s="12" t="s">
        <v>1026</v>
      </c>
      <c r="E84" s="12" t="s">
        <v>151</v>
      </c>
      <c r="G84" s="12" t="s">
        <v>1027</v>
      </c>
      <c r="I84" s="12" t="s">
        <v>76</v>
      </c>
      <c r="Y84" s="12" t="s">
        <v>1028</v>
      </c>
      <c r="AJ84" s="12" t="s">
        <v>95</v>
      </c>
      <c r="AK84" s="12" t="s">
        <v>358</v>
      </c>
    </row>
    <row r="85" spans="1:37" ht="68.25" customHeight="1" x14ac:dyDescent="0.45">
      <c r="A85" s="10">
        <v>83</v>
      </c>
      <c r="B85" s="10" t="s">
        <v>1029</v>
      </c>
      <c r="C85" s="10" t="s">
        <v>30</v>
      </c>
      <c r="D85" s="10" t="s">
        <v>1030</v>
      </c>
      <c r="E85" s="10" t="s">
        <v>723</v>
      </c>
      <c r="F85" s="10" t="s">
        <v>16</v>
      </c>
      <c r="G85" s="10" t="s">
        <v>1031</v>
      </c>
      <c r="H85" s="11" t="s">
        <v>1032</v>
      </c>
      <c r="I85" s="11" t="s">
        <v>76</v>
      </c>
      <c r="J85" s="11" t="s">
        <v>1033</v>
      </c>
      <c r="K85" s="11" t="s">
        <v>1034</v>
      </c>
      <c r="L85" s="11" t="s">
        <v>1035</v>
      </c>
      <c r="M85" s="11" t="s">
        <v>1036</v>
      </c>
      <c r="N85" s="11" t="s">
        <v>81</v>
      </c>
      <c r="O85" s="11" t="s">
        <v>141</v>
      </c>
      <c r="P85" s="11" t="s">
        <v>83</v>
      </c>
      <c r="Q85" s="11" t="s">
        <v>84</v>
      </c>
      <c r="R85" s="11" t="s">
        <v>83</v>
      </c>
      <c r="S85" s="11" t="s">
        <v>1037</v>
      </c>
      <c r="T85" s="11" t="s">
        <v>86</v>
      </c>
      <c r="U85" s="11">
        <v>3</v>
      </c>
      <c r="V85" s="11" t="s">
        <v>83</v>
      </c>
      <c r="W85" s="11"/>
      <c r="X85" s="11" t="s">
        <v>987</v>
      </c>
      <c r="Y85" s="11" t="s">
        <v>1038</v>
      </c>
      <c r="Z85" s="11" t="s">
        <v>1039</v>
      </c>
      <c r="AA85" s="11" t="s">
        <v>1040</v>
      </c>
      <c r="AB85" s="11" t="s">
        <v>1041</v>
      </c>
      <c r="AC85" s="11" t="s">
        <v>1042</v>
      </c>
      <c r="AD85" s="11" t="s">
        <v>93</v>
      </c>
      <c r="AE85" s="11"/>
      <c r="AF85" s="11"/>
      <c r="AG85" s="11"/>
      <c r="AH85" s="11"/>
      <c r="AI85" s="11" t="s">
        <v>94</v>
      </c>
      <c r="AJ85" s="11" t="s">
        <v>95</v>
      </c>
      <c r="AK85" s="11" t="s">
        <v>96</v>
      </c>
    </row>
    <row r="86" spans="1:37" ht="15" customHeight="1" x14ac:dyDescent="0.45">
      <c r="A86" s="12">
        <v>84</v>
      </c>
      <c r="B86" s="12" t="s">
        <v>1043</v>
      </c>
      <c r="C86" s="12" t="s">
        <v>30</v>
      </c>
      <c r="D86" s="12" t="s">
        <v>1044</v>
      </c>
      <c r="E86" s="12" t="s">
        <v>408</v>
      </c>
      <c r="F86" s="12"/>
      <c r="G86" s="12" t="s">
        <v>1045</v>
      </c>
      <c r="H86" s="12"/>
      <c r="I86" s="12" t="s">
        <v>1046</v>
      </c>
      <c r="J86" s="12"/>
      <c r="K86" s="12"/>
      <c r="L86" s="12"/>
      <c r="M86" s="12"/>
      <c r="N86" s="12"/>
      <c r="O86" s="12"/>
      <c r="P86" s="12"/>
      <c r="Q86" s="12"/>
      <c r="R86" s="12"/>
      <c r="S86" s="12"/>
      <c r="T86" s="12"/>
      <c r="U86" s="12"/>
      <c r="V86" s="12"/>
      <c r="W86" s="12"/>
      <c r="X86" s="12"/>
      <c r="Y86" s="12" t="s">
        <v>1047</v>
      </c>
      <c r="Z86" s="12"/>
      <c r="AA86" s="12"/>
      <c r="AB86" s="12"/>
      <c r="AC86" s="12"/>
      <c r="AD86" s="12"/>
      <c r="AE86" s="12"/>
      <c r="AF86" s="12"/>
      <c r="AG86" s="12"/>
      <c r="AH86" s="12"/>
      <c r="AI86" s="12"/>
      <c r="AJ86" s="12" t="s">
        <v>95</v>
      </c>
      <c r="AK86" s="12" t="s">
        <v>217</v>
      </c>
    </row>
    <row r="87" spans="1:37" ht="68.25" customHeight="1" x14ac:dyDescent="0.45">
      <c r="A87" s="10">
        <v>85</v>
      </c>
      <c r="B87" s="10" t="s">
        <v>1048</v>
      </c>
      <c r="C87" s="10" t="s">
        <v>30</v>
      </c>
      <c r="D87" s="10" t="s">
        <v>1049</v>
      </c>
      <c r="E87" s="10" t="s">
        <v>479</v>
      </c>
      <c r="F87" s="10" t="s">
        <v>14</v>
      </c>
      <c r="G87" s="10" t="s">
        <v>1050</v>
      </c>
      <c r="H87" s="11" t="s">
        <v>1051</v>
      </c>
      <c r="I87" s="11" t="s">
        <v>76</v>
      </c>
      <c r="J87" s="11" t="s">
        <v>1052</v>
      </c>
      <c r="K87" s="11" t="s">
        <v>1053</v>
      </c>
      <c r="L87" s="11" t="s">
        <v>1054</v>
      </c>
      <c r="M87" s="11" t="s">
        <v>1055</v>
      </c>
      <c r="N87" s="11" t="s">
        <v>106</v>
      </c>
      <c r="O87" s="11" t="s">
        <v>106</v>
      </c>
      <c r="P87" s="11" t="s">
        <v>83</v>
      </c>
      <c r="Q87" s="11" t="s">
        <v>83</v>
      </c>
      <c r="R87" s="11" t="s">
        <v>84</v>
      </c>
      <c r="S87" s="11" t="s">
        <v>1056</v>
      </c>
      <c r="T87" s="11" t="s">
        <v>86</v>
      </c>
      <c r="U87" s="11">
        <v>2</v>
      </c>
      <c r="V87" s="11" t="s">
        <v>83</v>
      </c>
      <c r="W87" s="11"/>
      <c r="X87" s="11" t="s">
        <v>1057</v>
      </c>
      <c r="Y87" s="11" t="s">
        <v>1058</v>
      </c>
      <c r="Z87" s="11" t="s">
        <v>1059</v>
      </c>
      <c r="AA87" s="11" t="s">
        <v>1060</v>
      </c>
      <c r="AB87" s="11" t="s">
        <v>1061</v>
      </c>
      <c r="AC87" s="11" t="s">
        <v>1062</v>
      </c>
      <c r="AD87" s="11" t="s">
        <v>93</v>
      </c>
      <c r="AE87" s="11"/>
      <c r="AF87" s="11"/>
      <c r="AG87" s="11"/>
      <c r="AH87" s="11"/>
      <c r="AI87" s="11" t="s">
        <v>94</v>
      </c>
      <c r="AJ87" s="11" t="s">
        <v>95</v>
      </c>
      <c r="AK87" s="11" t="s">
        <v>96</v>
      </c>
    </row>
    <row r="88" spans="1:37" ht="68.25" customHeight="1" x14ac:dyDescent="0.45">
      <c r="A88" s="10">
        <v>86</v>
      </c>
      <c r="B88" s="10" t="s">
        <v>1063</v>
      </c>
      <c r="C88" s="10" t="s">
        <v>30</v>
      </c>
      <c r="D88" s="10" t="s">
        <v>1064</v>
      </c>
      <c r="E88" s="10" t="s">
        <v>291</v>
      </c>
      <c r="F88" s="10" t="s">
        <v>18</v>
      </c>
      <c r="G88" s="10" t="s">
        <v>442</v>
      </c>
      <c r="H88" s="11" t="s">
        <v>1065</v>
      </c>
      <c r="I88" s="11" t="s">
        <v>76</v>
      </c>
      <c r="J88" s="11" t="s">
        <v>1066</v>
      </c>
      <c r="K88" s="11" t="s">
        <v>1067</v>
      </c>
      <c r="L88" s="11" t="s">
        <v>1068</v>
      </c>
      <c r="M88" s="11" t="s">
        <v>1069</v>
      </c>
      <c r="N88" s="11" t="s">
        <v>81</v>
      </c>
      <c r="O88" s="11" t="s">
        <v>141</v>
      </c>
      <c r="P88" s="11" t="s">
        <v>83</v>
      </c>
      <c r="Q88" s="11" t="s">
        <v>84</v>
      </c>
      <c r="R88" s="11" t="s">
        <v>83</v>
      </c>
      <c r="S88" s="11" t="s">
        <v>1070</v>
      </c>
      <c r="T88" s="11" t="s">
        <v>86</v>
      </c>
      <c r="U88" s="11">
        <v>4</v>
      </c>
      <c r="V88" s="11" t="s">
        <v>84</v>
      </c>
      <c r="W88" s="11"/>
      <c r="X88" s="11" t="s">
        <v>1071</v>
      </c>
      <c r="Y88" s="11" t="s">
        <v>1072</v>
      </c>
      <c r="Z88" s="11" t="s">
        <v>573</v>
      </c>
      <c r="AA88" s="11" t="s">
        <v>1073</v>
      </c>
      <c r="AB88" s="11" t="s">
        <v>675</v>
      </c>
      <c r="AC88" s="11" t="s">
        <v>1074</v>
      </c>
      <c r="AD88" s="11" t="s">
        <v>93</v>
      </c>
      <c r="AE88" s="11"/>
      <c r="AF88" s="11"/>
      <c r="AG88" s="11"/>
      <c r="AH88" s="11"/>
      <c r="AI88" s="11" t="s">
        <v>94</v>
      </c>
      <c r="AJ88" s="11" t="s">
        <v>95</v>
      </c>
      <c r="AK88" s="11" t="s">
        <v>96</v>
      </c>
    </row>
    <row r="89" spans="1:37" s="12" customFormat="1" ht="23.25" customHeight="1" x14ac:dyDescent="0.45">
      <c r="A89" s="12">
        <v>87</v>
      </c>
      <c r="B89" s="12" t="s">
        <v>1075</v>
      </c>
      <c r="C89" s="12" t="s">
        <v>31</v>
      </c>
      <c r="D89" s="12" t="s">
        <v>1076</v>
      </c>
      <c r="E89" s="12" t="s">
        <v>291</v>
      </c>
      <c r="G89" s="12" t="s">
        <v>1077</v>
      </c>
      <c r="I89" s="12" t="s">
        <v>76</v>
      </c>
      <c r="Y89" s="12" t="s">
        <v>901</v>
      </c>
      <c r="AJ89" s="12" t="s">
        <v>95</v>
      </c>
      <c r="AK89" s="12" t="s">
        <v>358</v>
      </c>
    </row>
    <row r="90" spans="1:37" ht="68.25" customHeight="1" x14ac:dyDescent="0.45">
      <c r="A90" s="10">
        <v>88</v>
      </c>
      <c r="B90" s="10" t="s">
        <v>1078</v>
      </c>
      <c r="C90" s="10" t="s">
        <v>31</v>
      </c>
      <c r="D90" s="10" t="s">
        <v>1079</v>
      </c>
      <c r="E90" s="10" t="s">
        <v>1080</v>
      </c>
      <c r="F90" s="10" t="s">
        <v>14</v>
      </c>
      <c r="G90" s="10" t="s">
        <v>287</v>
      </c>
      <c r="H90" s="11" t="s">
        <v>1081</v>
      </c>
      <c r="I90" s="11" t="s">
        <v>76</v>
      </c>
      <c r="J90" s="11" t="s">
        <v>1082</v>
      </c>
      <c r="K90" s="11" t="s">
        <v>1083</v>
      </c>
      <c r="L90" s="11" t="s">
        <v>1084</v>
      </c>
      <c r="M90" s="11" t="s">
        <v>814</v>
      </c>
      <c r="N90" s="11" t="s">
        <v>106</v>
      </c>
      <c r="O90" s="11" t="s">
        <v>106</v>
      </c>
      <c r="P90" s="11" t="s">
        <v>83</v>
      </c>
      <c r="Q90" s="11" t="s">
        <v>84</v>
      </c>
      <c r="R90" s="11" t="s">
        <v>84</v>
      </c>
      <c r="S90" s="11" t="s">
        <v>1085</v>
      </c>
      <c r="T90" s="11" t="s">
        <v>86</v>
      </c>
      <c r="U90" s="11">
        <v>2</v>
      </c>
      <c r="V90" s="11" t="s">
        <v>84</v>
      </c>
      <c r="W90" s="11"/>
      <c r="X90" s="11" t="s">
        <v>1086</v>
      </c>
      <c r="Y90" s="11" t="s">
        <v>1087</v>
      </c>
      <c r="Z90" s="11" t="s">
        <v>1088</v>
      </c>
      <c r="AA90" s="11" t="s">
        <v>1089</v>
      </c>
      <c r="AB90" s="11" t="s">
        <v>1090</v>
      </c>
      <c r="AC90" s="11" t="s">
        <v>1091</v>
      </c>
      <c r="AD90" s="11" t="s">
        <v>93</v>
      </c>
      <c r="AE90" s="11"/>
      <c r="AF90" s="11"/>
      <c r="AG90" s="11"/>
      <c r="AH90" s="11"/>
      <c r="AI90" s="11" t="s">
        <v>94</v>
      </c>
      <c r="AJ90" s="11" t="s">
        <v>95</v>
      </c>
      <c r="AK90" s="11" t="s">
        <v>96</v>
      </c>
    </row>
    <row r="91" spans="1:37" ht="68.25" customHeight="1" x14ac:dyDescent="0.45">
      <c r="A91" s="10">
        <v>89</v>
      </c>
      <c r="B91" s="10" t="s">
        <v>1092</v>
      </c>
      <c r="C91" s="10" t="s">
        <v>31</v>
      </c>
      <c r="D91" s="10" t="s">
        <v>1093</v>
      </c>
      <c r="E91" s="10" t="s">
        <v>270</v>
      </c>
      <c r="F91" s="10" t="s">
        <v>16</v>
      </c>
      <c r="G91" s="10" t="s">
        <v>1094</v>
      </c>
      <c r="H91" s="11" t="s">
        <v>1095</v>
      </c>
      <c r="I91" s="11" t="s">
        <v>76</v>
      </c>
      <c r="J91" s="11" t="s">
        <v>1096</v>
      </c>
      <c r="K91" s="11" t="s">
        <v>1097</v>
      </c>
      <c r="L91" s="11" t="s">
        <v>1098</v>
      </c>
      <c r="M91" s="11" t="s">
        <v>814</v>
      </c>
      <c r="N91" s="11" t="s">
        <v>81</v>
      </c>
      <c r="O91" s="11" t="s">
        <v>141</v>
      </c>
      <c r="P91" s="11" t="s">
        <v>83</v>
      </c>
      <c r="Q91" s="11" t="s">
        <v>83</v>
      </c>
      <c r="R91" s="11" t="s">
        <v>83</v>
      </c>
      <c r="S91" s="11" t="s">
        <v>1099</v>
      </c>
      <c r="T91" s="11" t="s">
        <v>86</v>
      </c>
      <c r="U91" s="11">
        <v>3</v>
      </c>
      <c r="V91" s="11" t="s">
        <v>83</v>
      </c>
      <c r="W91" s="11"/>
      <c r="X91" s="11" t="s">
        <v>1100</v>
      </c>
      <c r="Y91" s="11" t="s">
        <v>1101</v>
      </c>
      <c r="Z91" s="11" t="s">
        <v>1102</v>
      </c>
      <c r="AA91" s="11" t="s">
        <v>1103</v>
      </c>
      <c r="AB91" s="11" t="s">
        <v>1104</v>
      </c>
      <c r="AC91" s="11" t="s">
        <v>1105</v>
      </c>
      <c r="AD91" s="11" t="s">
        <v>93</v>
      </c>
      <c r="AE91" s="11"/>
      <c r="AF91" s="11"/>
      <c r="AG91" s="11"/>
      <c r="AH91" s="11"/>
      <c r="AI91" s="11" t="s">
        <v>94</v>
      </c>
      <c r="AJ91" s="11" t="s">
        <v>95</v>
      </c>
      <c r="AK91" s="11" t="s">
        <v>96</v>
      </c>
    </row>
    <row r="92" spans="1:37" ht="68.25" customHeight="1" x14ac:dyDescent="0.45">
      <c r="A92" s="10">
        <v>90</v>
      </c>
      <c r="B92" s="10" t="s">
        <v>1106</v>
      </c>
      <c r="C92" s="10" t="s">
        <v>31</v>
      </c>
      <c r="D92" s="10" t="s">
        <v>1107</v>
      </c>
      <c r="E92" s="10" t="s">
        <v>1108</v>
      </c>
      <c r="F92" s="10" t="s">
        <v>16</v>
      </c>
      <c r="G92" s="10" t="s">
        <v>1109</v>
      </c>
      <c r="H92" s="11" t="s">
        <v>1110</v>
      </c>
      <c r="I92" s="11" t="s">
        <v>101</v>
      </c>
      <c r="J92" s="11" t="s">
        <v>1111</v>
      </c>
      <c r="K92" s="11" t="s">
        <v>1112</v>
      </c>
      <c r="L92" s="11" t="s">
        <v>1113</v>
      </c>
      <c r="M92" s="11" t="s">
        <v>1114</v>
      </c>
      <c r="N92" s="11" t="s">
        <v>106</v>
      </c>
      <c r="O92" s="11" t="s">
        <v>106</v>
      </c>
      <c r="P92" s="11" t="s">
        <v>83</v>
      </c>
      <c r="Q92" s="11" t="s">
        <v>84</v>
      </c>
      <c r="R92" s="11" t="s">
        <v>84</v>
      </c>
      <c r="S92" s="11" t="s">
        <v>1115</v>
      </c>
      <c r="T92" s="11" t="s">
        <v>109</v>
      </c>
      <c r="U92" s="11">
        <v>2</v>
      </c>
      <c r="V92" s="11" t="s">
        <v>84</v>
      </c>
      <c r="W92" s="11"/>
      <c r="X92" s="11" t="s">
        <v>1116</v>
      </c>
      <c r="Y92" s="11" t="s">
        <v>1117</v>
      </c>
      <c r="Z92" s="11" t="s">
        <v>1118</v>
      </c>
      <c r="AA92" s="11" t="s">
        <v>1119</v>
      </c>
      <c r="AB92" s="11" t="s">
        <v>1061</v>
      </c>
      <c r="AC92" s="11" t="s">
        <v>1120</v>
      </c>
      <c r="AD92" s="11" t="s">
        <v>93</v>
      </c>
      <c r="AE92" s="11"/>
      <c r="AF92" s="11"/>
      <c r="AG92" s="11"/>
      <c r="AH92" s="11"/>
      <c r="AI92" s="11" t="s">
        <v>94</v>
      </c>
      <c r="AJ92" s="11" t="s">
        <v>95</v>
      </c>
      <c r="AK92" s="11" t="s">
        <v>96</v>
      </c>
    </row>
    <row r="93" spans="1:37" ht="68.25" customHeight="1" x14ac:dyDescent="0.45">
      <c r="A93" s="10">
        <v>91</v>
      </c>
      <c r="B93" s="10" t="s">
        <v>790</v>
      </c>
      <c r="C93" s="10" t="s">
        <v>31</v>
      </c>
      <c r="D93" s="10" t="s">
        <v>791</v>
      </c>
      <c r="E93" s="10" t="s">
        <v>792</v>
      </c>
      <c r="F93" s="10" t="s">
        <v>16</v>
      </c>
      <c r="G93" s="10" t="s">
        <v>287</v>
      </c>
      <c r="H93" s="11" t="s">
        <v>1121</v>
      </c>
      <c r="I93" s="11" t="s">
        <v>76</v>
      </c>
      <c r="J93" s="11" t="s">
        <v>1122</v>
      </c>
      <c r="K93" s="11" t="s">
        <v>1123</v>
      </c>
      <c r="L93" s="11" t="s">
        <v>1124</v>
      </c>
      <c r="M93" s="11" t="s">
        <v>1125</v>
      </c>
      <c r="N93" s="11" t="s">
        <v>106</v>
      </c>
      <c r="O93" s="11" t="s">
        <v>106</v>
      </c>
      <c r="P93" s="11" t="s">
        <v>83</v>
      </c>
      <c r="Q93" s="11" t="s">
        <v>84</v>
      </c>
      <c r="R93" s="11" t="s">
        <v>83</v>
      </c>
      <c r="S93" s="11" t="s">
        <v>1126</v>
      </c>
      <c r="T93" s="11" t="s">
        <v>86</v>
      </c>
      <c r="U93" s="11">
        <v>2</v>
      </c>
      <c r="V93" s="11" t="s">
        <v>84</v>
      </c>
      <c r="W93" s="11"/>
      <c r="X93" s="11" t="s">
        <v>1127</v>
      </c>
      <c r="Y93" s="11" t="s">
        <v>1128</v>
      </c>
      <c r="Z93" s="11" t="s">
        <v>1129</v>
      </c>
      <c r="AA93" s="11" t="s">
        <v>1130</v>
      </c>
      <c r="AB93" s="11" t="s">
        <v>1131</v>
      </c>
      <c r="AC93" s="11" t="s">
        <v>1132</v>
      </c>
      <c r="AD93" s="11" t="s">
        <v>93</v>
      </c>
      <c r="AE93" s="11"/>
      <c r="AF93" s="11"/>
      <c r="AG93" s="11"/>
      <c r="AH93" s="11"/>
      <c r="AI93" s="11" t="s">
        <v>94</v>
      </c>
      <c r="AJ93" s="11" t="s">
        <v>95</v>
      </c>
      <c r="AK93" s="11" t="s">
        <v>96</v>
      </c>
    </row>
    <row r="94" spans="1:37" ht="68.25" customHeight="1" x14ac:dyDescent="0.45">
      <c r="A94" s="10">
        <v>92</v>
      </c>
      <c r="B94" s="10" t="s">
        <v>1133</v>
      </c>
      <c r="C94" s="10" t="s">
        <v>31</v>
      </c>
      <c r="D94" s="10" t="s">
        <v>1134</v>
      </c>
      <c r="E94" s="10" t="s">
        <v>1135</v>
      </c>
      <c r="F94" s="10" t="s">
        <v>14</v>
      </c>
      <c r="G94" s="10" t="s">
        <v>1136</v>
      </c>
      <c r="H94" s="11" t="s">
        <v>1137</v>
      </c>
      <c r="I94" s="11" t="s">
        <v>76</v>
      </c>
      <c r="J94" s="11" t="s">
        <v>1138</v>
      </c>
      <c r="K94" s="11" t="s">
        <v>1139</v>
      </c>
      <c r="L94" s="11" t="s">
        <v>1140</v>
      </c>
      <c r="M94" s="11" t="s">
        <v>1141</v>
      </c>
      <c r="N94" s="11" t="s">
        <v>106</v>
      </c>
      <c r="O94" s="11" t="s">
        <v>1142</v>
      </c>
      <c r="P94" s="11" t="s">
        <v>83</v>
      </c>
      <c r="Q94" s="11" t="s">
        <v>83</v>
      </c>
      <c r="R94" s="11" t="s">
        <v>84</v>
      </c>
      <c r="S94" s="11" t="s">
        <v>1143</v>
      </c>
      <c r="T94" s="11" t="s">
        <v>86</v>
      </c>
      <c r="U94" s="11">
        <v>2</v>
      </c>
      <c r="V94" s="11" t="s">
        <v>84</v>
      </c>
      <c r="W94" s="11"/>
      <c r="X94" s="11" t="s">
        <v>844</v>
      </c>
      <c r="Y94" s="11" t="s">
        <v>1144</v>
      </c>
      <c r="Z94" s="11" t="s">
        <v>1145</v>
      </c>
      <c r="AA94" s="11" t="s">
        <v>1146</v>
      </c>
      <c r="AB94" s="11" t="s">
        <v>1147</v>
      </c>
      <c r="AC94" s="11" t="s">
        <v>1148</v>
      </c>
      <c r="AD94" s="11" t="s">
        <v>93</v>
      </c>
      <c r="AE94" s="11"/>
      <c r="AF94" s="11"/>
      <c r="AG94" s="11"/>
      <c r="AH94" s="11"/>
      <c r="AI94" s="11" t="s">
        <v>94</v>
      </c>
      <c r="AJ94" s="11" t="s">
        <v>95</v>
      </c>
      <c r="AK94" s="11" t="s">
        <v>96</v>
      </c>
    </row>
    <row r="95" spans="1:37" ht="57" customHeight="1" x14ac:dyDescent="0.45">
      <c r="A95" s="10">
        <v>93</v>
      </c>
      <c r="B95" s="10" t="s">
        <v>1149</v>
      </c>
      <c r="C95" s="10" t="s">
        <v>31</v>
      </c>
      <c r="D95" s="10" t="s">
        <v>1150</v>
      </c>
      <c r="E95" s="10" t="s">
        <v>1080</v>
      </c>
      <c r="F95" s="10" t="s">
        <v>14</v>
      </c>
      <c r="G95" s="10" t="s">
        <v>1151</v>
      </c>
      <c r="H95" s="11" t="s">
        <v>1152</v>
      </c>
      <c r="I95" s="11" t="s">
        <v>76</v>
      </c>
      <c r="J95" s="11" t="s">
        <v>1153</v>
      </c>
      <c r="K95" s="11" t="s">
        <v>1154</v>
      </c>
      <c r="L95" s="11" t="s">
        <v>1084</v>
      </c>
      <c r="M95" s="11" t="s">
        <v>1155</v>
      </c>
      <c r="N95" s="11" t="s">
        <v>106</v>
      </c>
      <c r="O95" s="11" t="s">
        <v>106</v>
      </c>
      <c r="P95" s="11" t="s">
        <v>83</v>
      </c>
      <c r="Q95" s="11" t="s">
        <v>84</v>
      </c>
      <c r="R95" s="11" t="s">
        <v>84</v>
      </c>
      <c r="S95" s="11" t="s">
        <v>1085</v>
      </c>
      <c r="T95" s="11" t="s">
        <v>86</v>
      </c>
      <c r="U95" s="11">
        <v>2</v>
      </c>
      <c r="V95" s="11" t="s">
        <v>84</v>
      </c>
      <c r="W95" s="11"/>
      <c r="X95" s="11" t="s">
        <v>1156</v>
      </c>
      <c r="Y95" s="11" t="s">
        <v>1157</v>
      </c>
      <c r="Z95" s="11" t="s">
        <v>1158</v>
      </c>
      <c r="AA95" s="11" t="s">
        <v>1159</v>
      </c>
      <c r="AB95" s="11" t="s">
        <v>1160</v>
      </c>
      <c r="AC95" s="11" t="s">
        <v>1161</v>
      </c>
      <c r="AD95" s="11" t="s">
        <v>93</v>
      </c>
      <c r="AE95" s="11"/>
      <c r="AF95" s="11"/>
      <c r="AG95" s="11"/>
      <c r="AH95" s="11"/>
      <c r="AI95" s="11" t="s">
        <v>94</v>
      </c>
      <c r="AJ95" s="11" t="s">
        <v>95</v>
      </c>
      <c r="AK95" s="11" t="s">
        <v>96</v>
      </c>
    </row>
    <row r="96" spans="1:37" ht="68.25" customHeight="1" x14ac:dyDescent="0.45">
      <c r="A96" s="10">
        <v>94</v>
      </c>
      <c r="B96" s="10" t="s">
        <v>1162</v>
      </c>
      <c r="C96" s="10" t="s">
        <v>31</v>
      </c>
      <c r="D96" s="10" t="s">
        <v>1163</v>
      </c>
      <c r="E96" s="10" t="s">
        <v>73</v>
      </c>
      <c r="F96" s="10" t="s">
        <v>18</v>
      </c>
      <c r="G96" s="10" t="s">
        <v>564</v>
      </c>
      <c r="H96" s="11" t="s">
        <v>1164</v>
      </c>
      <c r="I96" s="11" t="s">
        <v>76</v>
      </c>
      <c r="J96" s="11" t="s">
        <v>1165</v>
      </c>
      <c r="K96" s="11" t="s">
        <v>1166</v>
      </c>
      <c r="L96" s="11" t="s">
        <v>1167</v>
      </c>
      <c r="M96" s="11" t="s">
        <v>1168</v>
      </c>
      <c r="N96" s="11" t="s">
        <v>81</v>
      </c>
      <c r="O96" s="11" t="s">
        <v>141</v>
      </c>
      <c r="P96" s="11" t="s">
        <v>83</v>
      </c>
      <c r="Q96" s="11" t="s">
        <v>84</v>
      </c>
      <c r="R96" s="11" t="s">
        <v>83</v>
      </c>
      <c r="S96" s="11" t="s">
        <v>1169</v>
      </c>
      <c r="T96" s="11" t="s">
        <v>86</v>
      </c>
      <c r="U96" s="11">
        <v>3</v>
      </c>
      <c r="V96" s="11" t="s">
        <v>83</v>
      </c>
      <c r="W96" s="11"/>
      <c r="X96" s="11" t="s">
        <v>1170</v>
      </c>
      <c r="Y96" s="11" t="s">
        <v>1171</v>
      </c>
      <c r="Z96" s="11" t="s">
        <v>260</v>
      </c>
      <c r="AA96" s="11" t="s">
        <v>261</v>
      </c>
      <c r="AB96" s="11" t="s">
        <v>1172</v>
      </c>
      <c r="AC96" s="11" t="s">
        <v>1173</v>
      </c>
      <c r="AD96" s="11" t="s">
        <v>93</v>
      </c>
      <c r="AE96" s="11"/>
      <c r="AF96" s="11"/>
      <c r="AG96" s="11"/>
      <c r="AH96" s="11"/>
      <c r="AI96" s="11" t="s">
        <v>94</v>
      </c>
      <c r="AJ96" s="11" t="s">
        <v>95</v>
      </c>
      <c r="AK96" s="11" t="s">
        <v>96</v>
      </c>
    </row>
    <row r="97" spans="1:37" ht="68.25" customHeight="1" x14ac:dyDescent="0.45">
      <c r="A97" s="10">
        <v>95</v>
      </c>
      <c r="B97" s="10" t="s">
        <v>1174</v>
      </c>
      <c r="C97" s="10" t="s">
        <v>31</v>
      </c>
      <c r="D97" s="10" t="s">
        <v>1175</v>
      </c>
      <c r="E97" s="10" t="s">
        <v>1176</v>
      </c>
      <c r="F97" s="10" t="s">
        <v>16</v>
      </c>
      <c r="G97" s="10" t="s">
        <v>1177</v>
      </c>
      <c r="H97" s="11" t="s">
        <v>1178</v>
      </c>
      <c r="I97" s="11" t="s">
        <v>76</v>
      </c>
      <c r="J97" s="11" t="s">
        <v>1179</v>
      </c>
      <c r="K97" s="11" t="s">
        <v>1180</v>
      </c>
      <c r="L97" s="11" t="s">
        <v>1181</v>
      </c>
      <c r="M97" s="11" t="s">
        <v>1182</v>
      </c>
      <c r="N97" s="11" t="s">
        <v>106</v>
      </c>
      <c r="O97" s="11" t="s">
        <v>1183</v>
      </c>
      <c r="P97" s="11" t="s">
        <v>83</v>
      </c>
      <c r="Q97" s="11" t="s">
        <v>84</v>
      </c>
      <c r="R97" s="11" t="s">
        <v>84</v>
      </c>
      <c r="S97" s="11" t="s">
        <v>1184</v>
      </c>
      <c r="T97" s="11" t="s">
        <v>109</v>
      </c>
      <c r="U97" s="11">
        <v>3</v>
      </c>
      <c r="V97" s="11" t="s">
        <v>84</v>
      </c>
      <c r="W97" s="11"/>
      <c r="X97" s="11" t="s">
        <v>557</v>
      </c>
      <c r="Y97" s="11" t="s">
        <v>1185</v>
      </c>
      <c r="Z97" s="11" t="s">
        <v>1186</v>
      </c>
      <c r="AA97" s="11" t="s">
        <v>1187</v>
      </c>
      <c r="AB97" s="11" t="s">
        <v>1188</v>
      </c>
      <c r="AC97" s="11" t="s">
        <v>1189</v>
      </c>
      <c r="AD97" s="11" t="s">
        <v>93</v>
      </c>
      <c r="AE97" s="11"/>
      <c r="AF97" s="11"/>
      <c r="AG97" s="11"/>
      <c r="AH97" s="11"/>
      <c r="AI97" s="11" t="s">
        <v>94</v>
      </c>
      <c r="AJ97" s="11" t="s">
        <v>95</v>
      </c>
      <c r="AK97" s="11" t="s">
        <v>96</v>
      </c>
    </row>
    <row r="98" spans="1:37" ht="68.25" customHeight="1" x14ac:dyDescent="0.45">
      <c r="A98" s="10">
        <v>96</v>
      </c>
      <c r="B98" s="10" t="s">
        <v>1190</v>
      </c>
      <c r="C98" s="10" t="s">
        <v>31</v>
      </c>
      <c r="D98" s="10" t="s">
        <v>1191</v>
      </c>
      <c r="E98" s="10" t="s">
        <v>134</v>
      </c>
      <c r="F98" s="10" t="s">
        <v>20</v>
      </c>
      <c r="G98" s="10" t="s">
        <v>1192</v>
      </c>
      <c r="H98" s="11" t="s">
        <v>1193</v>
      </c>
      <c r="I98" s="11" t="s">
        <v>76</v>
      </c>
      <c r="J98" s="11" t="s">
        <v>1194</v>
      </c>
      <c r="K98" s="11" t="s">
        <v>1195</v>
      </c>
      <c r="L98" s="11" t="s">
        <v>1196</v>
      </c>
      <c r="M98" s="11" t="s">
        <v>1197</v>
      </c>
      <c r="N98" s="11" t="s">
        <v>81</v>
      </c>
      <c r="O98" s="11" t="s">
        <v>141</v>
      </c>
      <c r="P98" s="11" t="s">
        <v>84</v>
      </c>
      <c r="Q98" s="11" t="s">
        <v>84</v>
      </c>
      <c r="R98" s="11" t="s">
        <v>83</v>
      </c>
      <c r="S98" s="11" t="s">
        <v>1198</v>
      </c>
      <c r="T98" s="11" t="s">
        <v>86</v>
      </c>
      <c r="U98" s="11">
        <v>4</v>
      </c>
      <c r="V98" s="11" t="s">
        <v>84</v>
      </c>
      <c r="W98" s="11"/>
      <c r="X98" s="11" t="s">
        <v>1199</v>
      </c>
      <c r="Y98" s="11" t="s">
        <v>1200</v>
      </c>
      <c r="Z98" s="11" t="s">
        <v>145</v>
      </c>
      <c r="AA98" s="11" t="s">
        <v>1201</v>
      </c>
      <c r="AB98" s="11" t="s">
        <v>1202</v>
      </c>
      <c r="AC98" s="11" t="s">
        <v>1203</v>
      </c>
      <c r="AD98" s="11" t="s">
        <v>93</v>
      </c>
      <c r="AE98" s="11"/>
      <c r="AF98" s="11"/>
      <c r="AG98" s="11"/>
      <c r="AH98" s="11"/>
      <c r="AI98" s="11" t="s">
        <v>94</v>
      </c>
      <c r="AJ98" s="11" t="s">
        <v>95</v>
      </c>
      <c r="AK98" s="11" t="s">
        <v>96</v>
      </c>
    </row>
    <row r="99" spans="1:37" ht="68.25" customHeight="1" x14ac:dyDescent="0.45">
      <c r="A99" s="10">
        <v>97</v>
      </c>
      <c r="B99" s="10" t="s">
        <v>1204</v>
      </c>
      <c r="C99" s="10" t="s">
        <v>23</v>
      </c>
      <c r="D99" s="10" t="s">
        <v>1205</v>
      </c>
      <c r="E99" s="10" t="s">
        <v>536</v>
      </c>
      <c r="F99" s="10" t="s">
        <v>20</v>
      </c>
      <c r="G99" s="10" t="s">
        <v>1206</v>
      </c>
      <c r="H99" s="11" t="s">
        <v>1207</v>
      </c>
      <c r="I99" s="11" t="s">
        <v>76</v>
      </c>
      <c r="J99" s="11" t="s">
        <v>1208</v>
      </c>
      <c r="K99" s="11" t="s">
        <v>1209</v>
      </c>
      <c r="L99" s="11" t="s">
        <v>1210</v>
      </c>
      <c r="M99" s="11" t="s">
        <v>1211</v>
      </c>
      <c r="N99" s="11" t="s">
        <v>81</v>
      </c>
      <c r="O99" s="11" t="s">
        <v>448</v>
      </c>
      <c r="P99" s="11" t="s">
        <v>83</v>
      </c>
      <c r="Q99" s="11" t="s">
        <v>84</v>
      </c>
      <c r="R99" s="11" t="s">
        <v>83</v>
      </c>
      <c r="S99" s="11" t="s">
        <v>1212</v>
      </c>
      <c r="T99" s="11" t="s">
        <v>190</v>
      </c>
      <c r="U99" s="11">
        <v>5</v>
      </c>
      <c r="V99" s="11" t="s">
        <v>84</v>
      </c>
      <c r="W99" s="11"/>
      <c r="X99" s="11" t="s">
        <v>1213</v>
      </c>
      <c r="Y99" s="11" t="s">
        <v>1214</v>
      </c>
      <c r="Z99" s="11" t="s">
        <v>1215</v>
      </c>
      <c r="AA99" s="11" t="s">
        <v>1216</v>
      </c>
      <c r="AB99" s="11" t="s">
        <v>1217</v>
      </c>
      <c r="AC99" s="11" t="s">
        <v>1218</v>
      </c>
      <c r="AD99" s="11" t="s">
        <v>93</v>
      </c>
      <c r="AE99" s="11"/>
      <c r="AF99" s="11"/>
      <c r="AG99" s="11"/>
      <c r="AH99" s="11"/>
      <c r="AI99" s="11" t="s">
        <v>94</v>
      </c>
      <c r="AJ99" s="11" t="s">
        <v>95</v>
      </c>
      <c r="AK99" s="11" t="s">
        <v>96</v>
      </c>
    </row>
    <row r="100" spans="1:37" ht="68.25" customHeight="1" x14ac:dyDescent="0.45">
      <c r="A100" s="10">
        <v>98</v>
      </c>
      <c r="B100" s="10" t="s">
        <v>1219</v>
      </c>
      <c r="C100" s="10" t="s">
        <v>22</v>
      </c>
      <c r="D100" s="10" t="s">
        <v>1220</v>
      </c>
      <c r="E100" s="10" t="s">
        <v>134</v>
      </c>
      <c r="F100" s="10" t="s">
        <v>20</v>
      </c>
      <c r="G100" s="10" t="s">
        <v>1221</v>
      </c>
      <c r="H100" s="11" t="s">
        <v>1222</v>
      </c>
      <c r="I100" s="11" t="s">
        <v>76</v>
      </c>
      <c r="J100" s="11" t="s">
        <v>1223</v>
      </c>
      <c r="K100" s="11" t="s">
        <v>1224</v>
      </c>
      <c r="L100" s="11" t="s">
        <v>1225</v>
      </c>
      <c r="M100" s="11" t="s">
        <v>1226</v>
      </c>
      <c r="N100" s="11" t="s">
        <v>81</v>
      </c>
      <c r="O100" s="11" t="s">
        <v>1227</v>
      </c>
      <c r="P100" s="11" t="s">
        <v>84</v>
      </c>
      <c r="Q100" s="11" t="s">
        <v>84</v>
      </c>
      <c r="R100" s="11" t="s">
        <v>83</v>
      </c>
      <c r="S100" s="11" t="s">
        <v>1228</v>
      </c>
      <c r="T100" s="11" t="s">
        <v>86</v>
      </c>
      <c r="U100" s="11">
        <v>5</v>
      </c>
      <c r="V100" s="11" t="s">
        <v>84</v>
      </c>
      <c r="W100" s="11"/>
      <c r="X100" s="11" t="s">
        <v>1229</v>
      </c>
      <c r="Y100" s="11" t="s">
        <v>1230</v>
      </c>
      <c r="Z100" s="11" t="s">
        <v>1231</v>
      </c>
      <c r="AA100" s="11" t="s">
        <v>1232</v>
      </c>
      <c r="AB100" s="11" t="s">
        <v>1233</v>
      </c>
      <c r="AC100" s="11" t="s">
        <v>1220</v>
      </c>
      <c r="AD100" s="11" t="s">
        <v>93</v>
      </c>
      <c r="AE100" s="11"/>
      <c r="AF100" s="11"/>
      <c r="AG100" s="11"/>
      <c r="AH100" s="11"/>
      <c r="AI100" s="11" t="s">
        <v>94</v>
      </c>
      <c r="AJ100" s="11" t="s">
        <v>95</v>
      </c>
      <c r="AK100" s="11" t="s">
        <v>96</v>
      </c>
    </row>
    <row r="101" spans="1:37" ht="79.5" customHeight="1" x14ac:dyDescent="0.45">
      <c r="A101" s="10">
        <v>99</v>
      </c>
      <c r="B101" s="10" t="s">
        <v>1234</v>
      </c>
      <c r="C101" s="10" t="s">
        <v>13</v>
      </c>
      <c r="D101" s="10" t="s">
        <v>1235</v>
      </c>
      <c r="E101" s="10" t="s">
        <v>536</v>
      </c>
      <c r="F101" s="10" t="s">
        <v>18</v>
      </c>
      <c r="G101" s="10" t="s">
        <v>1236</v>
      </c>
      <c r="H101" s="11" t="s">
        <v>1237</v>
      </c>
      <c r="I101" s="11" t="s">
        <v>76</v>
      </c>
      <c r="J101" s="11" t="s">
        <v>1238</v>
      </c>
      <c r="K101" s="11" t="s">
        <v>1239</v>
      </c>
      <c r="L101" s="11" t="s">
        <v>1240</v>
      </c>
      <c r="M101" s="11" t="s">
        <v>1241</v>
      </c>
      <c r="N101" s="11" t="s">
        <v>81</v>
      </c>
      <c r="O101" s="11" t="s">
        <v>141</v>
      </c>
      <c r="P101" s="11" t="s">
        <v>83</v>
      </c>
      <c r="Q101" s="11" t="s">
        <v>84</v>
      </c>
      <c r="R101" s="11" t="s">
        <v>83</v>
      </c>
      <c r="S101" s="11" t="s">
        <v>1242</v>
      </c>
      <c r="T101" s="11" t="s">
        <v>86</v>
      </c>
      <c r="U101" s="11">
        <v>4</v>
      </c>
      <c r="V101" s="11" t="s">
        <v>84</v>
      </c>
      <c r="W101" s="11"/>
      <c r="X101" s="11" t="s">
        <v>1243</v>
      </c>
      <c r="Y101" s="11" t="s">
        <v>1244</v>
      </c>
      <c r="Z101" s="11" t="s">
        <v>1245</v>
      </c>
      <c r="AA101" s="11" t="s">
        <v>1246</v>
      </c>
      <c r="AB101" s="11" t="s">
        <v>1247</v>
      </c>
      <c r="AC101" s="11" t="s">
        <v>1235</v>
      </c>
      <c r="AD101" s="11" t="s">
        <v>93</v>
      </c>
      <c r="AE101" s="11"/>
      <c r="AF101" s="11"/>
      <c r="AG101" s="11"/>
      <c r="AH101" s="11"/>
      <c r="AI101" s="11" t="s">
        <v>94</v>
      </c>
      <c r="AJ101" s="11" t="s">
        <v>95</v>
      </c>
      <c r="AK101" s="11" t="s">
        <v>96</v>
      </c>
    </row>
    <row r="102" spans="1:37" ht="68.25" customHeight="1" x14ac:dyDescent="0.45">
      <c r="A102" s="10">
        <v>100</v>
      </c>
      <c r="B102" s="10" t="s">
        <v>1248</v>
      </c>
      <c r="C102" s="10" t="s">
        <v>1249</v>
      </c>
      <c r="D102" s="10" t="s">
        <v>1250</v>
      </c>
      <c r="E102" s="10" t="s">
        <v>1251</v>
      </c>
      <c r="F102" s="10" t="s">
        <v>16</v>
      </c>
      <c r="G102" s="10" t="s">
        <v>1252</v>
      </c>
      <c r="H102" s="11" t="s">
        <v>1253</v>
      </c>
      <c r="I102" s="11" t="s">
        <v>101</v>
      </c>
      <c r="J102" s="11" t="s">
        <v>1254</v>
      </c>
      <c r="K102" s="11" t="s">
        <v>1255</v>
      </c>
      <c r="L102" s="11" t="s">
        <v>1256</v>
      </c>
      <c r="M102" s="11" t="s">
        <v>1257</v>
      </c>
      <c r="N102" s="11" t="s">
        <v>485</v>
      </c>
      <c r="O102" s="11" t="s">
        <v>106</v>
      </c>
      <c r="P102" s="11" t="s">
        <v>83</v>
      </c>
      <c r="Q102" s="11" t="s">
        <v>83</v>
      </c>
      <c r="R102" s="11" t="s">
        <v>84</v>
      </c>
      <c r="S102" s="11" t="s">
        <v>1258</v>
      </c>
      <c r="T102" s="11" t="s">
        <v>109</v>
      </c>
      <c r="U102" s="11">
        <v>2</v>
      </c>
      <c r="V102" s="11" t="s">
        <v>84</v>
      </c>
      <c r="W102" s="11"/>
      <c r="X102" s="11" t="s">
        <v>1259</v>
      </c>
      <c r="Y102" s="11" t="s">
        <v>1260</v>
      </c>
      <c r="Z102" s="11" t="s">
        <v>1261</v>
      </c>
      <c r="AA102" s="11" t="s">
        <v>1262</v>
      </c>
      <c r="AB102" s="11" t="s">
        <v>1263</v>
      </c>
      <c r="AC102" s="11" t="s">
        <v>1250</v>
      </c>
      <c r="AD102" s="11" t="s">
        <v>93</v>
      </c>
      <c r="AE102" s="11"/>
      <c r="AF102" s="11"/>
      <c r="AG102" s="11"/>
      <c r="AH102" s="11"/>
      <c r="AI102" s="11" t="s">
        <v>94</v>
      </c>
      <c r="AJ102" s="11" t="s">
        <v>95</v>
      </c>
      <c r="AK102" s="11" t="s">
        <v>96</v>
      </c>
    </row>
    <row r="103" spans="1:37" ht="68.25" customHeight="1" x14ac:dyDescent="0.45">
      <c r="A103" s="10">
        <v>101</v>
      </c>
      <c r="B103" s="10" t="s">
        <v>1264</v>
      </c>
      <c r="C103" s="10" t="s">
        <v>13</v>
      </c>
      <c r="D103" s="10" t="s">
        <v>1265</v>
      </c>
      <c r="E103" s="10" t="s">
        <v>291</v>
      </c>
      <c r="F103" s="10" t="s">
        <v>16</v>
      </c>
      <c r="G103" s="10" t="s">
        <v>1266</v>
      </c>
      <c r="H103" s="11" t="s">
        <v>1267</v>
      </c>
      <c r="I103" s="11" t="s">
        <v>101</v>
      </c>
      <c r="J103" s="11" t="s">
        <v>1268</v>
      </c>
      <c r="K103" s="11" t="s">
        <v>1269</v>
      </c>
      <c r="L103" s="11" t="s">
        <v>1270</v>
      </c>
      <c r="M103" s="11" t="s">
        <v>1271</v>
      </c>
      <c r="N103" s="11" t="s">
        <v>485</v>
      </c>
      <c r="O103" s="11" t="s">
        <v>506</v>
      </c>
      <c r="P103" s="11" t="s">
        <v>83</v>
      </c>
      <c r="Q103" s="11" t="s">
        <v>84</v>
      </c>
      <c r="R103" s="11" t="s">
        <v>84</v>
      </c>
      <c r="S103" s="11" t="s">
        <v>1272</v>
      </c>
      <c r="T103" s="11" t="s">
        <v>109</v>
      </c>
      <c r="U103" s="11">
        <v>2</v>
      </c>
      <c r="V103" s="11" t="s">
        <v>83</v>
      </c>
      <c r="W103" s="11"/>
      <c r="X103" s="11" t="s">
        <v>1273</v>
      </c>
      <c r="Y103" s="11" t="s">
        <v>1274</v>
      </c>
      <c r="Z103" s="11" t="s">
        <v>1275</v>
      </c>
      <c r="AA103" s="11" t="s">
        <v>1276</v>
      </c>
      <c r="AB103" s="11" t="s">
        <v>512</v>
      </c>
      <c r="AC103" s="11" t="s">
        <v>1277</v>
      </c>
      <c r="AD103" s="11" t="s">
        <v>93</v>
      </c>
      <c r="AE103" s="11"/>
      <c r="AF103" s="11"/>
      <c r="AG103" s="11"/>
      <c r="AH103" s="11"/>
      <c r="AI103" s="11" t="s">
        <v>94</v>
      </c>
      <c r="AJ103" s="11" t="s">
        <v>95</v>
      </c>
      <c r="AK103" s="11" t="s">
        <v>96</v>
      </c>
    </row>
    <row r="104" spans="1:37" ht="68.25" customHeight="1" x14ac:dyDescent="0.45">
      <c r="A104" s="10">
        <v>102</v>
      </c>
      <c r="B104" s="10" t="s">
        <v>1278</v>
      </c>
      <c r="C104" s="10" t="s">
        <v>13</v>
      </c>
      <c r="D104" s="10" t="s">
        <v>1279</v>
      </c>
      <c r="E104" s="10" t="s">
        <v>792</v>
      </c>
      <c r="F104" s="10" t="s">
        <v>18</v>
      </c>
      <c r="G104" s="10" t="s">
        <v>1280</v>
      </c>
      <c r="H104" s="11" t="s">
        <v>1281</v>
      </c>
      <c r="I104" s="11" t="s">
        <v>76</v>
      </c>
      <c r="J104" s="11" t="s">
        <v>1282</v>
      </c>
      <c r="K104" s="11" t="s">
        <v>1283</v>
      </c>
      <c r="L104" s="11" t="s">
        <v>1284</v>
      </c>
      <c r="M104" s="11" t="s">
        <v>1285</v>
      </c>
      <c r="N104" s="11" t="s">
        <v>81</v>
      </c>
      <c r="O104" s="11" t="s">
        <v>206</v>
      </c>
      <c r="P104" s="11" t="s">
        <v>83</v>
      </c>
      <c r="Q104" s="11" t="s">
        <v>84</v>
      </c>
      <c r="R104" s="11" t="s">
        <v>83</v>
      </c>
      <c r="S104" s="11" t="s">
        <v>1286</v>
      </c>
      <c r="T104" s="11" t="s">
        <v>109</v>
      </c>
      <c r="U104" s="11">
        <v>3</v>
      </c>
      <c r="V104" s="11" t="s">
        <v>84</v>
      </c>
      <c r="W104" s="11"/>
      <c r="X104" s="11" t="s">
        <v>1287</v>
      </c>
      <c r="Y104" s="11" t="s">
        <v>1288</v>
      </c>
      <c r="Z104" s="11" t="s">
        <v>1289</v>
      </c>
      <c r="AA104" s="11" t="s">
        <v>1290</v>
      </c>
      <c r="AB104" s="11" t="s">
        <v>629</v>
      </c>
      <c r="AC104" s="11" t="s">
        <v>1291</v>
      </c>
      <c r="AD104" s="11" t="s">
        <v>93</v>
      </c>
      <c r="AE104" s="11"/>
      <c r="AF104" s="11"/>
      <c r="AG104" s="11"/>
      <c r="AH104" s="11"/>
      <c r="AI104" s="11" t="s">
        <v>94</v>
      </c>
      <c r="AJ104" s="11" t="s">
        <v>95</v>
      </c>
      <c r="AK104" s="11" t="s">
        <v>96</v>
      </c>
    </row>
    <row r="105" spans="1:37" ht="68.25" customHeight="1" x14ac:dyDescent="0.45">
      <c r="A105" s="10">
        <v>103</v>
      </c>
      <c r="B105" s="10" t="s">
        <v>1292</v>
      </c>
      <c r="C105" s="10" t="s">
        <v>23</v>
      </c>
      <c r="D105" s="10" t="s">
        <v>1293</v>
      </c>
      <c r="E105" s="10" t="s">
        <v>291</v>
      </c>
      <c r="F105" s="10" t="s">
        <v>20</v>
      </c>
      <c r="G105" s="10" t="s">
        <v>1294</v>
      </c>
      <c r="H105" s="11" t="s">
        <v>1295</v>
      </c>
      <c r="I105" s="11" t="s">
        <v>101</v>
      </c>
      <c r="J105" s="11" t="s">
        <v>1296</v>
      </c>
      <c r="K105" s="11" t="s">
        <v>1297</v>
      </c>
      <c r="L105" s="11" t="s">
        <v>1298</v>
      </c>
      <c r="M105" s="11" t="s">
        <v>1299</v>
      </c>
      <c r="N105" s="11" t="s">
        <v>81</v>
      </c>
      <c r="O105" s="11" t="s">
        <v>448</v>
      </c>
      <c r="P105" s="11" t="s">
        <v>83</v>
      </c>
      <c r="Q105" s="11" t="s">
        <v>84</v>
      </c>
      <c r="R105" s="11" t="s">
        <v>83</v>
      </c>
      <c r="S105" s="11" t="s">
        <v>1300</v>
      </c>
      <c r="T105" s="11" t="s">
        <v>86</v>
      </c>
      <c r="U105" s="11">
        <v>4</v>
      </c>
      <c r="V105" s="11" t="s">
        <v>84</v>
      </c>
      <c r="W105" s="11"/>
      <c r="X105" s="11" t="s">
        <v>1301</v>
      </c>
      <c r="Y105" s="11" t="s">
        <v>1302</v>
      </c>
      <c r="Z105" s="11" t="s">
        <v>1303</v>
      </c>
      <c r="AA105" s="11" t="s">
        <v>1304</v>
      </c>
      <c r="AB105" s="11" t="s">
        <v>1305</v>
      </c>
      <c r="AC105" s="11" t="s">
        <v>1293</v>
      </c>
      <c r="AD105" s="11" t="s">
        <v>93</v>
      </c>
      <c r="AE105" s="11"/>
      <c r="AF105" s="11"/>
      <c r="AG105" s="11"/>
      <c r="AH105" s="11"/>
      <c r="AI105" s="11" t="s">
        <v>94</v>
      </c>
      <c r="AJ105" s="11" t="s">
        <v>95</v>
      </c>
      <c r="AK105" s="11" t="s">
        <v>96</v>
      </c>
    </row>
    <row r="106" spans="1:37" ht="68.25" customHeight="1" x14ac:dyDescent="0.45">
      <c r="A106" s="10">
        <v>104</v>
      </c>
      <c r="B106" s="10" t="s">
        <v>1306</v>
      </c>
      <c r="C106" s="10" t="s">
        <v>17</v>
      </c>
      <c r="D106" s="10" t="s">
        <v>1307</v>
      </c>
      <c r="E106" s="10" t="s">
        <v>235</v>
      </c>
      <c r="F106" s="10" t="s">
        <v>20</v>
      </c>
      <c r="G106" s="10" t="s">
        <v>1308</v>
      </c>
      <c r="H106" s="11" t="s">
        <v>1309</v>
      </c>
      <c r="I106" s="11" t="s">
        <v>76</v>
      </c>
      <c r="J106" s="11" t="s">
        <v>1310</v>
      </c>
      <c r="K106" s="11" t="s">
        <v>1311</v>
      </c>
      <c r="L106" s="11" t="s">
        <v>1312</v>
      </c>
      <c r="M106" s="11" t="s">
        <v>1313</v>
      </c>
      <c r="N106" s="11" t="s">
        <v>81</v>
      </c>
      <c r="O106" s="11" t="s">
        <v>346</v>
      </c>
      <c r="P106" s="11" t="s">
        <v>83</v>
      </c>
      <c r="Q106" s="11" t="s">
        <v>84</v>
      </c>
      <c r="R106" s="11" t="s">
        <v>83</v>
      </c>
      <c r="S106" s="11" t="s">
        <v>1314</v>
      </c>
      <c r="T106" s="11" t="s">
        <v>86</v>
      </c>
      <c r="U106" s="11">
        <v>5</v>
      </c>
      <c r="V106" s="11" t="s">
        <v>83</v>
      </c>
      <c r="W106" s="11"/>
      <c r="X106" s="11" t="s">
        <v>585</v>
      </c>
      <c r="Y106" s="11" t="s">
        <v>1315</v>
      </c>
      <c r="Z106" s="11" t="s">
        <v>401</v>
      </c>
      <c r="AA106" s="11" t="s">
        <v>1316</v>
      </c>
      <c r="AB106" s="11" t="s">
        <v>1317</v>
      </c>
      <c r="AC106" s="11" t="s">
        <v>1318</v>
      </c>
      <c r="AD106" s="11" t="s">
        <v>93</v>
      </c>
      <c r="AE106" s="11"/>
      <c r="AF106" s="11"/>
      <c r="AG106" s="11"/>
      <c r="AH106" s="11"/>
      <c r="AI106" s="11" t="s">
        <v>94</v>
      </c>
      <c r="AJ106" s="11" t="s">
        <v>95</v>
      </c>
      <c r="AK106" s="11" t="s">
        <v>96</v>
      </c>
    </row>
    <row r="107" spans="1:37" ht="68.25" customHeight="1" x14ac:dyDescent="0.45">
      <c r="A107" s="10">
        <v>105</v>
      </c>
      <c r="B107" s="10" t="s">
        <v>1319</v>
      </c>
      <c r="C107" s="10" t="s">
        <v>17</v>
      </c>
      <c r="D107" s="10" t="s">
        <v>1320</v>
      </c>
      <c r="E107" s="10" t="s">
        <v>536</v>
      </c>
      <c r="F107" s="10" t="s">
        <v>18</v>
      </c>
      <c r="G107" s="10" t="s">
        <v>1321</v>
      </c>
      <c r="H107" s="11" t="s">
        <v>1322</v>
      </c>
      <c r="I107" s="11" t="s">
        <v>76</v>
      </c>
      <c r="J107" s="11" t="s">
        <v>1323</v>
      </c>
      <c r="K107" s="11" t="s">
        <v>1324</v>
      </c>
      <c r="L107" s="11" t="s">
        <v>1325</v>
      </c>
      <c r="M107" s="11" t="s">
        <v>1326</v>
      </c>
      <c r="N107" s="11" t="s">
        <v>81</v>
      </c>
      <c r="O107" s="11" t="s">
        <v>346</v>
      </c>
      <c r="P107" s="11" t="s">
        <v>83</v>
      </c>
      <c r="Q107" s="11" t="s">
        <v>84</v>
      </c>
      <c r="R107" s="11" t="s">
        <v>83</v>
      </c>
      <c r="S107" s="11" t="s">
        <v>1327</v>
      </c>
      <c r="T107" s="11" t="s">
        <v>86</v>
      </c>
      <c r="U107" s="11">
        <v>4</v>
      </c>
      <c r="V107" s="11" t="s">
        <v>84</v>
      </c>
      <c r="W107" s="11"/>
      <c r="X107" s="11" t="s">
        <v>1328</v>
      </c>
      <c r="Y107" s="11" t="s">
        <v>1329</v>
      </c>
      <c r="Z107" s="11" t="s">
        <v>1330</v>
      </c>
      <c r="AA107" s="11" t="s">
        <v>1331</v>
      </c>
      <c r="AB107" s="11" t="s">
        <v>629</v>
      </c>
      <c r="AC107" s="11" t="s">
        <v>1332</v>
      </c>
      <c r="AD107" s="11" t="s">
        <v>93</v>
      </c>
      <c r="AE107" s="11"/>
      <c r="AF107" s="11"/>
      <c r="AG107" s="11"/>
      <c r="AH107" s="11"/>
      <c r="AI107" s="11" t="s">
        <v>94</v>
      </c>
      <c r="AJ107" s="11" t="s">
        <v>95</v>
      </c>
      <c r="AK107" s="11" t="s">
        <v>96</v>
      </c>
    </row>
    <row r="108" spans="1:37" ht="68.25" customHeight="1" x14ac:dyDescent="0.45">
      <c r="A108" s="10">
        <v>106</v>
      </c>
      <c r="B108" s="10" t="s">
        <v>1333</v>
      </c>
      <c r="C108" s="10" t="s">
        <v>17</v>
      </c>
      <c r="D108" s="10" t="s">
        <v>1334</v>
      </c>
      <c r="E108" s="10" t="s">
        <v>286</v>
      </c>
      <c r="F108" s="10" t="s">
        <v>16</v>
      </c>
      <c r="G108" s="10" t="s">
        <v>1335</v>
      </c>
      <c r="H108" s="11" t="s">
        <v>1336</v>
      </c>
      <c r="I108" s="11" t="s">
        <v>76</v>
      </c>
      <c r="J108" s="11" t="s">
        <v>1337</v>
      </c>
      <c r="K108" s="11" t="s">
        <v>1338</v>
      </c>
      <c r="L108" s="11" t="s">
        <v>1339</v>
      </c>
      <c r="M108" s="11" t="s">
        <v>1340</v>
      </c>
      <c r="N108" s="11" t="s">
        <v>106</v>
      </c>
      <c r="O108" s="11" t="s">
        <v>106</v>
      </c>
      <c r="P108" s="11" t="s">
        <v>83</v>
      </c>
      <c r="Q108" s="11" t="s">
        <v>83</v>
      </c>
      <c r="R108" s="11" t="s">
        <v>83</v>
      </c>
      <c r="S108" s="11" t="s">
        <v>1341</v>
      </c>
      <c r="T108" s="11" t="s">
        <v>109</v>
      </c>
      <c r="U108" s="11">
        <v>3</v>
      </c>
      <c r="V108" s="11" t="s">
        <v>84</v>
      </c>
      <c r="W108" s="11"/>
      <c r="X108" s="11" t="s">
        <v>1213</v>
      </c>
      <c r="Y108" s="11" t="s">
        <v>1342</v>
      </c>
      <c r="Z108" s="11" t="s">
        <v>1343</v>
      </c>
      <c r="AA108" s="11" t="s">
        <v>1344</v>
      </c>
      <c r="AB108" s="11" t="s">
        <v>1041</v>
      </c>
      <c r="AC108" s="11" t="s">
        <v>1334</v>
      </c>
      <c r="AD108" s="11" t="s">
        <v>93</v>
      </c>
      <c r="AE108" s="11"/>
      <c r="AF108" s="11"/>
      <c r="AG108" s="11"/>
      <c r="AH108" s="11"/>
      <c r="AI108" s="11" t="s">
        <v>94</v>
      </c>
      <c r="AJ108" s="11" t="s">
        <v>95</v>
      </c>
      <c r="AK108" s="11" t="s">
        <v>96</v>
      </c>
    </row>
    <row r="109" spans="1:37" ht="68.25" customHeight="1" x14ac:dyDescent="0.45">
      <c r="A109" s="10">
        <v>107</v>
      </c>
      <c r="B109" s="10" t="s">
        <v>1345</v>
      </c>
      <c r="C109" s="10" t="s">
        <v>13</v>
      </c>
      <c r="D109" s="10" t="s">
        <v>1346</v>
      </c>
      <c r="E109" s="10" t="s">
        <v>1347</v>
      </c>
      <c r="F109" s="10" t="s">
        <v>18</v>
      </c>
      <c r="G109" s="10" t="s">
        <v>1348</v>
      </c>
      <c r="H109" s="11" t="s">
        <v>1349</v>
      </c>
      <c r="I109" s="11" t="s">
        <v>76</v>
      </c>
      <c r="J109" s="11" t="s">
        <v>1350</v>
      </c>
      <c r="K109" s="11" t="s">
        <v>1351</v>
      </c>
      <c r="L109" s="11" t="s">
        <v>1352</v>
      </c>
      <c r="M109" s="11" t="s">
        <v>1353</v>
      </c>
      <c r="N109" s="11" t="s">
        <v>81</v>
      </c>
      <c r="O109" s="11" t="s">
        <v>1354</v>
      </c>
      <c r="P109" s="11" t="s">
        <v>83</v>
      </c>
      <c r="Q109" s="11" t="s">
        <v>83</v>
      </c>
      <c r="R109" s="11" t="s">
        <v>83</v>
      </c>
      <c r="S109" s="11" t="s">
        <v>1355</v>
      </c>
      <c r="T109" s="11" t="s">
        <v>86</v>
      </c>
      <c r="U109" s="11">
        <v>4</v>
      </c>
      <c r="V109" s="11" t="s">
        <v>83</v>
      </c>
      <c r="W109" s="11"/>
      <c r="X109" s="11" t="s">
        <v>1356</v>
      </c>
      <c r="Y109" s="11" t="s">
        <v>1357</v>
      </c>
      <c r="Z109" s="11" t="s">
        <v>1358</v>
      </c>
      <c r="AA109" s="11" t="s">
        <v>1359</v>
      </c>
      <c r="AB109" s="11" t="s">
        <v>719</v>
      </c>
      <c r="AC109" s="11" t="s">
        <v>1346</v>
      </c>
      <c r="AD109" s="11" t="s">
        <v>93</v>
      </c>
      <c r="AE109" s="11"/>
      <c r="AF109" s="11"/>
      <c r="AG109" s="11"/>
      <c r="AH109" s="11"/>
      <c r="AI109" s="11" t="s">
        <v>94</v>
      </c>
      <c r="AJ109" s="11" t="s">
        <v>95</v>
      </c>
      <c r="AK109" s="11" t="s">
        <v>96</v>
      </c>
    </row>
    <row r="110" spans="1:37" ht="68.25" customHeight="1" x14ac:dyDescent="0.45">
      <c r="A110" s="10">
        <v>108</v>
      </c>
      <c r="B110" s="10" t="s">
        <v>1360</v>
      </c>
      <c r="C110" s="10" t="s">
        <v>1361</v>
      </c>
      <c r="D110" s="10" t="s">
        <v>1362</v>
      </c>
      <c r="E110" s="10" t="s">
        <v>1347</v>
      </c>
      <c r="F110" s="10" t="s">
        <v>16</v>
      </c>
      <c r="G110" s="10" t="s">
        <v>1363</v>
      </c>
      <c r="H110" s="11" t="s">
        <v>1364</v>
      </c>
      <c r="I110" s="11" t="s">
        <v>76</v>
      </c>
      <c r="J110" s="11" t="s">
        <v>1365</v>
      </c>
      <c r="K110" s="11" t="s">
        <v>1366</v>
      </c>
      <c r="L110" s="11" t="s">
        <v>1367</v>
      </c>
      <c r="M110" s="11" t="s">
        <v>814</v>
      </c>
      <c r="N110" s="11" t="s">
        <v>81</v>
      </c>
      <c r="O110" s="11" t="s">
        <v>141</v>
      </c>
      <c r="P110" s="11" t="s">
        <v>83</v>
      </c>
      <c r="Q110" s="11" t="s">
        <v>83</v>
      </c>
      <c r="R110" s="11" t="s">
        <v>83</v>
      </c>
      <c r="S110" s="11" t="s">
        <v>1368</v>
      </c>
      <c r="T110" s="11" t="s">
        <v>86</v>
      </c>
      <c r="U110" s="11">
        <v>4</v>
      </c>
      <c r="V110" s="11" t="s">
        <v>83</v>
      </c>
      <c r="W110" s="11"/>
      <c r="X110" s="11" t="s">
        <v>1369</v>
      </c>
      <c r="Y110" s="11" t="s">
        <v>1370</v>
      </c>
      <c r="Z110" s="11" t="s">
        <v>1371</v>
      </c>
      <c r="AA110" s="11" t="s">
        <v>1372</v>
      </c>
      <c r="AB110" s="11" t="s">
        <v>1188</v>
      </c>
      <c r="AC110" s="11" t="s">
        <v>1373</v>
      </c>
      <c r="AD110" s="11" t="s">
        <v>93</v>
      </c>
      <c r="AE110" s="11"/>
      <c r="AF110" s="11"/>
      <c r="AG110" s="11"/>
      <c r="AH110" s="11"/>
      <c r="AI110" s="11" t="s">
        <v>94</v>
      </c>
      <c r="AJ110" s="11" t="s">
        <v>95</v>
      </c>
      <c r="AK110" s="11" t="s">
        <v>96</v>
      </c>
    </row>
    <row r="111" spans="1:37" ht="68.25" customHeight="1" x14ac:dyDescent="0.45">
      <c r="A111" s="10">
        <v>109</v>
      </c>
      <c r="B111" s="10" t="s">
        <v>1374</v>
      </c>
      <c r="C111" s="10" t="s">
        <v>1361</v>
      </c>
      <c r="D111" s="10" t="s">
        <v>1375</v>
      </c>
      <c r="E111" s="10" t="s">
        <v>1080</v>
      </c>
      <c r="F111" s="10" t="s">
        <v>16</v>
      </c>
      <c r="G111" s="10" t="s">
        <v>1376</v>
      </c>
      <c r="H111" s="11" t="s">
        <v>1377</v>
      </c>
      <c r="I111" s="11" t="s">
        <v>76</v>
      </c>
      <c r="J111" s="11" t="s">
        <v>1378</v>
      </c>
      <c r="K111" s="11" t="s">
        <v>1379</v>
      </c>
      <c r="L111" s="11" t="s">
        <v>1380</v>
      </c>
      <c r="M111" s="11" t="s">
        <v>1381</v>
      </c>
      <c r="N111" s="11" t="s">
        <v>106</v>
      </c>
      <c r="O111" s="11" t="s">
        <v>106</v>
      </c>
      <c r="P111" s="11" t="s">
        <v>83</v>
      </c>
      <c r="Q111" s="11" t="s">
        <v>84</v>
      </c>
      <c r="R111" s="11" t="s">
        <v>84</v>
      </c>
      <c r="S111" s="11" t="s">
        <v>1382</v>
      </c>
      <c r="T111" s="11" t="s">
        <v>109</v>
      </c>
      <c r="U111" s="11">
        <v>2</v>
      </c>
      <c r="V111" s="11" t="s">
        <v>84</v>
      </c>
      <c r="W111" s="11"/>
      <c r="X111" s="11" t="s">
        <v>1383</v>
      </c>
      <c r="Y111" s="11" t="s">
        <v>1384</v>
      </c>
      <c r="Z111" s="11" t="s">
        <v>1385</v>
      </c>
      <c r="AA111" s="11" t="s">
        <v>1386</v>
      </c>
      <c r="AB111" s="11" t="s">
        <v>512</v>
      </c>
      <c r="AC111" s="11" t="s">
        <v>1375</v>
      </c>
      <c r="AD111" s="11" t="s">
        <v>93</v>
      </c>
      <c r="AE111" s="11"/>
      <c r="AF111" s="11"/>
      <c r="AG111" s="11"/>
      <c r="AH111" s="11"/>
      <c r="AI111" s="11" t="s">
        <v>94</v>
      </c>
      <c r="AJ111" s="11" t="s">
        <v>95</v>
      </c>
      <c r="AK111" s="11" t="s">
        <v>96</v>
      </c>
    </row>
    <row r="112" spans="1:37" ht="68.650000000000006" customHeight="1" x14ac:dyDescent="0.45">
      <c r="A112" s="10">
        <v>110</v>
      </c>
      <c r="B112" s="10" t="s">
        <v>1387</v>
      </c>
      <c r="C112" s="10" t="s">
        <v>22</v>
      </c>
      <c r="D112" s="10" t="s">
        <v>1388</v>
      </c>
      <c r="E112" s="10" t="s">
        <v>265</v>
      </c>
      <c r="F112" s="10" t="s">
        <v>18</v>
      </c>
      <c r="G112" s="10" t="s">
        <v>1389</v>
      </c>
      <c r="H112" s="11" t="s">
        <v>1390</v>
      </c>
      <c r="I112" s="11" t="s">
        <v>76</v>
      </c>
      <c r="J112" s="11" t="s">
        <v>1391</v>
      </c>
      <c r="K112" s="11" t="s">
        <v>1392</v>
      </c>
      <c r="L112" s="11" t="s">
        <v>568</v>
      </c>
      <c r="M112" s="11" t="s">
        <v>1393</v>
      </c>
      <c r="N112" s="11" t="s">
        <v>81</v>
      </c>
      <c r="O112" s="11" t="s">
        <v>141</v>
      </c>
      <c r="P112" s="11" t="s">
        <v>83</v>
      </c>
      <c r="Q112" s="11" t="s">
        <v>84</v>
      </c>
      <c r="R112" s="11" t="s">
        <v>83</v>
      </c>
      <c r="S112" s="11" t="s">
        <v>1394</v>
      </c>
      <c r="T112" s="11" t="s">
        <v>86</v>
      </c>
      <c r="U112" s="11">
        <v>4</v>
      </c>
      <c r="V112" s="11" t="s">
        <v>84</v>
      </c>
      <c r="W112" s="11"/>
      <c r="X112" s="11" t="s">
        <v>1395</v>
      </c>
      <c r="Y112" s="11" t="s">
        <v>1396</v>
      </c>
      <c r="Z112" s="11" t="s">
        <v>1397</v>
      </c>
      <c r="AA112" s="11" t="s">
        <v>573</v>
      </c>
      <c r="AB112" s="11" t="s">
        <v>575</v>
      </c>
      <c r="AC112" s="11" t="s">
        <v>1398</v>
      </c>
      <c r="AD112" s="11" t="s">
        <v>93</v>
      </c>
      <c r="AE112" s="11"/>
      <c r="AF112" s="11"/>
      <c r="AG112" s="11"/>
      <c r="AH112" s="11"/>
      <c r="AI112" s="11" t="s">
        <v>94</v>
      </c>
      <c r="AJ112" s="11" t="s">
        <v>95</v>
      </c>
      <c r="AK112" s="11" t="s">
        <v>96</v>
      </c>
    </row>
    <row r="113" spans="1:37" ht="68.650000000000006" customHeight="1" x14ac:dyDescent="0.45">
      <c r="A113" s="10">
        <v>111</v>
      </c>
      <c r="B113" s="10" t="s">
        <v>1399</v>
      </c>
      <c r="C113" s="10" t="s">
        <v>17</v>
      </c>
      <c r="D113" s="10" t="s">
        <v>1400</v>
      </c>
      <c r="E113" s="10" t="s">
        <v>536</v>
      </c>
      <c r="F113" s="10" t="s">
        <v>20</v>
      </c>
      <c r="G113" s="10" t="s">
        <v>1308</v>
      </c>
      <c r="H113" s="11" t="s">
        <v>1401</v>
      </c>
      <c r="I113" s="11" t="s">
        <v>76</v>
      </c>
      <c r="J113" s="11" t="s">
        <v>1402</v>
      </c>
      <c r="K113" s="11" t="s">
        <v>1403</v>
      </c>
      <c r="L113" s="11" t="s">
        <v>1404</v>
      </c>
      <c r="M113" s="11" t="s">
        <v>970</v>
      </c>
      <c r="N113" s="11" t="s">
        <v>81</v>
      </c>
      <c r="O113" s="11" t="s">
        <v>206</v>
      </c>
      <c r="P113" s="11" t="s">
        <v>83</v>
      </c>
      <c r="Q113" s="11" t="s">
        <v>84</v>
      </c>
      <c r="R113" s="11" t="s">
        <v>83</v>
      </c>
      <c r="S113" s="11" t="s">
        <v>1314</v>
      </c>
      <c r="T113" s="11" t="s">
        <v>86</v>
      </c>
      <c r="U113" s="11">
        <v>5</v>
      </c>
      <c r="V113" s="11" t="s">
        <v>83</v>
      </c>
      <c r="W113" s="11"/>
      <c r="X113" s="11" t="s">
        <v>1405</v>
      </c>
      <c r="Y113" s="11" t="s">
        <v>1406</v>
      </c>
      <c r="Z113" s="11" t="s">
        <v>1407</v>
      </c>
      <c r="AA113" s="11" t="s">
        <v>1408</v>
      </c>
      <c r="AB113" s="11" t="s">
        <v>1409</v>
      </c>
      <c r="AC113" s="11" t="s">
        <v>1400</v>
      </c>
      <c r="AD113" s="11" t="s">
        <v>93</v>
      </c>
      <c r="AE113" s="11"/>
      <c r="AF113" s="11"/>
      <c r="AG113" s="11"/>
      <c r="AH113" s="11"/>
      <c r="AI113" s="11" t="s">
        <v>94</v>
      </c>
      <c r="AJ113" s="11" t="s">
        <v>95</v>
      </c>
      <c r="AK113" s="11" t="s">
        <v>96</v>
      </c>
    </row>
    <row r="114" spans="1:37" ht="68.650000000000006" customHeight="1" x14ac:dyDescent="0.45">
      <c r="A114" s="10">
        <v>112</v>
      </c>
      <c r="B114" s="10" t="s">
        <v>1410</v>
      </c>
      <c r="C114" s="10" t="s">
        <v>1411</v>
      </c>
      <c r="D114" s="10" t="s">
        <v>1412</v>
      </c>
      <c r="E114" s="10" t="s">
        <v>73</v>
      </c>
      <c r="F114" s="10" t="s">
        <v>20</v>
      </c>
      <c r="G114" s="10" t="s">
        <v>1413</v>
      </c>
      <c r="H114" s="11" t="s">
        <v>1414</v>
      </c>
      <c r="I114" s="11" t="s">
        <v>76</v>
      </c>
      <c r="J114" s="11" t="s">
        <v>1415</v>
      </c>
      <c r="K114" s="11" t="s">
        <v>1416</v>
      </c>
      <c r="L114" s="11" t="s">
        <v>1417</v>
      </c>
      <c r="M114" s="11" t="s">
        <v>1418</v>
      </c>
      <c r="N114" s="11" t="s">
        <v>81</v>
      </c>
      <c r="O114" s="11" t="s">
        <v>141</v>
      </c>
      <c r="P114" s="11" t="s">
        <v>83</v>
      </c>
      <c r="Q114" s="11" t="s">
        <v>84</v>
      </c>
      <c r="R114" s="11" t="s">
        <v>83</v>
      </c>
      <c r="S114" s="11" t="s">
        <v>1419</v>
      </c>
      <c r="T114" s="11" t="s">
        <v>86</v>
      </c>
      <c r="U114" s="11">
        <v>5</v>
      </c>
      <c r="V114" s="11" t="s">
        <v>83</v>
      </c>
      <c r="W114" s="11"/>
      <c r="X114" s="11" t="s">
        <v>1420</v>
      </c>
      <c r="Y114" s="11" t="s">
        <v>1421</v>
      </c>
      <c r="Z114" s="11" t="s">
        <v>1422</v>
      </c>
      <c r="AA114" s="11" t="s">
        <v>1423</v>
      </c>
      <c r="AB114" s="11" t="s">
        <v>1424</v>
      </c>
      <c r="AC114" s="11" t="s">
        <v>1412</v>
      </c>
      <c r="AD114" s="11" t="s">
        <v>93</v>
      </c>
      <c r="AE114" s="11"/>
      <c r="AF114" s="11"/>
      <c r="AG114" s="11"/>
      <c r="AH114" s="11"/>
      <c r="AI114" s="11" t="s">
        <v>94</v>
      </c>
      <c r="AJ114" s="11" t="s">
        <v>95</v>
      </c>
      <c r="AK114" s="11" t="s">
        <v>96</v>
      </c>
    </row>
    <row r="115" spans="1:37" ht="68.650000000000006" customHeight="1" x14ac:dyDescent="0.45">
      <c r="A115" s="10">
        <v>113</v>
      </c>
      <c r="B115" s="10" t="s">
        <v>1425</v>
      </c>
      <c r="C115" s="10" t="s">
        <v>1426</v>
      </c>
      <c r="D115" s="10" t="s">
        <v>1427</v>
      </c>
      <c r="E115" s="10" t="s">
        <v>536</v>
      </c>
      <c r="F115" s="10" t="s">
        <v>20</v>
      </c>
      <c r="G115" s="10" t="s">
        <v>1428</v>
      </c>
      <c r="H115" s="11" t="s">
        <v>1429</v>
      </c>
      <c r="I115" s="11" t="s">
        <v>76</v>
      </c>
      <c r="J115" s="11" t="s">
        <v>1430</v>
      </c>
      <c r="K115" s="11" t="s">
        <v>1431</v>
      </c>
      <c r="L115" s="11" t="s">
        <v>1432</v>
      </c>
      <c r="M115" s="11" t="s">
        <v>1433</v>
      </c>
      <c r="N115" s="11" t="s">
        <v>81</v>
      </c>
      <c r="O115" s="11" t="s">
        <v>206</v>
      </c>
      <c r="P115" s="11" t="s">
        <v>83</v>
      </c>
      <c r="Q115" s="11" t="s">
        <v>84</v>
      </c>
      <c r="R115" s="11" t="s">
        <v>83</v>
      </c>
      <c r="S115" s="11" t="s">
        <v>1434</v>
      </c>
      <c r="T115" s="11" t="s">
        <v>190</v>
      </c>
      <c r="U115" s="11">
        <v>5</v>
      </c>
      <c r="V115" s="11" t="s">
        <v>83</v>
      </c>
      <c r="W115" s="11"/>
      <c r="X115" s="11" t="s">
        <v>1435</v>
      </c>
      <c r="Y115" s="11" t="s">
        <v>1436</v>
      </c>
      <c r="Z115" s="11" t="s">
        <v>1437</v>
      </c>
      <c r="AA115" s="11" t="s">
        <v>1438</v>
      </c>
      <c r="AB115" s="11" t="s">
        <v>1439</v>
      </c>
      <c r="AC115" s="11" t="s">
        <v>1427</v>
      </c>
      <c r="AD115" s="11" t="s">
        <v>93</v>
      </c>
      <c r="AE115" s="11"/>
      <c r="AF115" s="11"/>
      <c r="AG115" s="11"/>
      <c r="AH115" s="11"/>
      <c r="AI115" s="11" t="s">
        <v>94</v>
      </c>
      <c r="AJ115" s="11" t="s">
        <v>95</v>
      </c>
      <c r="AK115" s="11" t="s">
        <v>96</v>
      </c>
    </row>
    <row r="116" spans="1:37" ht="89.25" x14ac:dyDescent="0.45">
      <c r="A116" s="13">
        <v>114</v>
      </c>
      <c r="B116" s="13" t="s">
        <v>1440</v>
      </c>
      <c r="C116" s="13" t="s">
        <v>19</v>
      </c>
      <c r="D116" s="13" t="s">
        <v>1441</v>
      </c>
      <c r="E116" s="13" t="s">
        <v>1135</v>
      </c>
      <c r="F116" s="13" t="s">
        <v>18</v>
      </c>
      <c r="G116" s="13" t="s">
        <v>1442</v>
      </c>
      <c r="H116" s="14" t="s">
        <v>1443</v>
      </c>
      <c r="I116" s="14" t="s">
        <v>76</v>
      </c>
      <c r="J116" s="14" t="s">
        <v>1444</v>
      </c>
      <c r="K116" s="14" t="s">
        <v>1445</v>
      </c>
      <c r="L116" s="14" t="s">
        <v>1446</v>
      </c>
      <c r="M116" s="14" t="s">
        <v>1447</v>
      </c>
      <c r="N116" s="14" t="s">
        <v>81</v>
      </c>
      <c r="O116" s="14" t="s">
        <v>448</v>
      </c>
      <c r="P116" s="14" t="s">
        <v>83</v>
      </c>
      <c r="Q116" s="14" t="s">
        <v>84</v>
      </c>
      <c r="R116" s="14" t="s">
        <v>84</v>
      </c>
      <c r="S116" s="14" t="s">
        <v>1448</v>
      </c>
      <c r="T116" s="14" t="s">
        <v>190</v>
      </c>
      <c r="U116" s="14">
        <v>4</v>
      </c>
      <c r="V116" s="14" t="s">
        <v>84</v>
      </c>
      <c r="W116" s="14"/>
      <c r="X116" s="14" t="s">
        <v>1449</v>
      </c>
      <c r="Y116" s="14" t="s">
        <v>1450</v>
      </c>
      <c r="Z116" s="14" t="s">
        <v>1451</v>
      </c>
      <c r="AA116" s="14" t="s">
        <v>1452</v>
      </c>
      <c r="AB116" s="14" t="s">
        <v>1453</v>
      </c>
      <c r="AC116" s="14" t="s">
        <v>1441</v>
      </c>
      <c r="AD116" s="14" t="s">
        <v>93</v>
      </c>
      <c r="AE116" s="14"/>
      <c r="AF116" s="14"/>
      <c r="AG116" s="14"/>
      <c r="AH116" s="14"/>
      <c r="AI116" s="14" t="s">
        <v>94</v>
      </c>
      <c r="AJ116" s="14" t="s">
        <v>95</v>
      </c>
      <c r="AK116" s="14" t="s">
        <v>96</v>
      </c>
    </row>
    <row r="117" spans="1:37" ht="76.5" x14ac:dyDescent="0.45">
      <c r="A117" s="13">
        <v>115</v>
      </c>
      <c r="B117" s="13" t="s">
        <v>1454</v>
      </c>
      <c r="C117" s="13" t="s">
        <v>15</v>
      </c>
      <c r="D117" s="13" t="s">
        <v>1455</v>
      </c>
      <c r="E117" s="13" t="s">
        <v>291</v>
      </c>
      <c r="F117" s="13" t="s">
        <v>16</v>
      </c>
      <c r="G117" s="13" t="s">
        <v>1456</v>
      </c>
      <c r="H117" s="14" t="s">
        <v>1457</v>
      </c>
      <c r="I117" s="14" t="s">
        <v>76</v>
      </c>
      <c r="J117" s="14" t="s">
        <v>1458</v>
      </c>
      <c r="K117" s="14" t="s">
        <v>1459</v>
      </c>
      <c r="L117" s="14" t="s">
        <v>1460</v>
      </c>
      <c r="M117" s="14" t="s">
        <v>1461</v>
      </c>
      <c r="N117" s="14" t="s">
        <v>81</v>
      </c>
      <c r="O117" s="14" t="s">
        <v>1462</v>
      </c>
      <c r="P117" s="14" t="s">
        <v>83</v>
      </c>
      <c r="Q117" s="14" t="s">
        <v>83</v>
      </c>
      <c r="R117" s="14" t="s">
        <v>83</v>
      </c>
      <c r="S117" s="14" t="s">
        <v>1272</v>
      </c>
      <c r="T117" s="14" t="s">
        <v>109</v>
      </c>
      <c r="U117" s="14">
        <v>3</v>
      </c>
      <c r="V117" s="14" t="s">
        <v>84</v>
      </c>
      <c r="W117" s="14"/>
      <c r="X117" s="14" t="s">
        <v>126</v>
      </c>
      <c r="Y117" s="14" t="s">
        <v>1463</v>
      </c>
      <c r="Z117" s="14" t="s">
        <v>861</v>
      </c>
      <c r="AA117" s="14" t="s">
        <v>1464</v>
      </c>
      <c r="AB117" s="14" t="s">
        <v>130</v>
      </c>
      <c r="AC117" s="14" t="s">
        <v>1465</v>
      </c>
      <c r="AD117" s="14" t="s">
        <v>93</v>
      </c>
      <c r="AE117" s="14"/>
      <c r="AF117" s="14"/>
      <c r="AG117" s="14"/>
      <c r="AH117" s="14"/>
      <c r="AI117" s="14" t="s">
        <v>94</v>
      </c>
      <c r="AJ117" s="14" t="s">
        <v>95</v>
      </c>
      <c r="AK117" s="14" t="s">
        <v>96</v>
      </c>
    </row>
    <row r="118" spans="1:37" s="12" customFormat="1" ht="63.75" x14ac:dyDescent="0.45">
      <c r="A118" s="12">
        <v>116</v>
      </c>
      <c r="B118" s="12" t="s">
        <v>1466</v>
      </c>
      <c r="C118" s="12" t="s">
        <v>25</v>
      </c>
      <c r="D118" s="12" t="s">
        <v>1467</v>
      </c>
      <c r="E118" s="12" t="s">
        <v>536</v>
      </c>
      <c r="F118" s="12" t="s">
        <v>20</v>
      </c>
      <c r="G118" s="12" t="s">
        <v>1468</v>
      </c>
      <c r="H118" s="12" t="s">
        <v>1469</v>
      </c>
      <c r="I118" s="12" t="s">
        <v>76</v>
      </c>
      <c r="J118" s="12" t="s">
        <v>1470</v>
      </c>
      <c r="K118" s="12" t="s">
        <v>1471</v>
      </c>
      <c r="L118" s="12" t="s">
        <v>1472</v>
      </c>
      <c r="M118" s="12" t="s">
        <v>1473</v>
      </c>
      <c r="N118" s="12" t="s">
        <v>81</v>
      </c>
      <c r="O118" s="12" t="s">
        <v>448</v>
      </c>
      <c r="P118" s="12" t="s">
        <v>83</v>
      </c>
      <c r="Q118" s="12" t="s">
        <v>84</v>
      </c>
      <c r="R118" s="12" t="s">
        <v>83</v>
      </c>
      <c r="S118" s="12" t="s">
        <v>1474</v>
      </c>
      <c r="T118" s="12" t="s">
        <v>86</v>
      </c>
      <c r="U118" s="12">
        <v>4</v>
      </c>
      <c r="V118" s="12" t="s">
        <v>84</v>
      </c>
      <c r="X118" s="12" t="s">
        <v>1475</v>
      </c>
      <c r="Y118" s="12" t="s">
        <v>1476</v>
      </c>
      <c r="Z118" s="12" t="s">
        <v>193</v>
      </c>
      <c r="AA118" s="12" t="s">
        <v>1477</v>
      </c>
      <c r="AB118" s="12" t="s">
        <v>1478</v>
      </c>
      <c r="AC118" s="12" t="s">
        <v>1467</v>
      </c>
      <c r="AD118" s="12" t="s">
        <v>93</v>
      </c>
      <c r="AI118" s="12" t="s">
        <v>94</v>
      </c>
      <c r="AJ118" s="12" t="s">
        <v>95</v>
      </c>
      <c r="AK118" s="12" t="s">
        <v>358</v>
      </c>
    </row>
  </sheetData>
  <autoFilter ref="A2:AK2" xr:uid="{00000000-0009-0000-0000-000001000000}"/>
  <mergeCells count="2">
    <mergeCell ref="A1:G1"/>
    <mergeCell ref="H1:AK1"/>
  </mergeCells>
  <dataValidations count="9">
    <dataValidation type="list" allowBlank="1" sqref="C3:C98" xr:uid="{00000000-0002-0000-0100-000000000000}">
      <formula1>"Capitol Hill,Ballard,Belltown,Fremont,Downtown,Pike Place,Queen Anne,Wallingford,Madrona,Phinney Ridge,Greenwood,U District"</formula1>
      <formula2>0</formula2>
    </dataValidation>
    <dataValidation type="list" allowBlank="1" sqref="F3:F98" xr:uid="{00000000-0002-0000-0100-000001000000}">
      <formula1>"$,$$,$$$,$$$$"</formula1>
      <formula2>0</formula2>
    </dataValidation>
    <dataValidation type="list" allowBlank="1" sqref="I3:I98" xr:uid="{00000000-0002-0000-0100-000002000000}">
      <formula1>"Restaurant,Bar,Brewery,Cafe,Dessert"</formula1>
      <formula2>0</formula2>
    </dataValidation>
    <dataValidation type="list" allowBlank="1" sqref="N3:N98" xr:uid="{00000000-0002-0000-0100-000003000000}">
      <formula1>"Yes,No,Walk-in"</formula1>
      <formula2>0</formula2>
    </dataValidation>
    <dataValidation type="list" allowBlank="1" sqref="V3:V98 P3:R98" xr:uid="{00000000-0002-0000-0100-000004000000}">
      <formula1>"Y,N"</formula1>
      <formula2>0</formula2>
    </dataValidation>
    <dataValidation type="list" allowBlank="1" sqref="T3:T98" xr:uid="{00000000-0002-0000-0100-000007000000}">
      <formula1>"Quiet,Moderate,Loud"</formula1>
      <formula2>0</formula2>
    </dataValidation>
    <dataValidation type="list" allowBlank="1" sqref="U3:U98" xr:uid="{00000000-0002-0000-0100-000009000000}">
      <formula1>"1,2,3,4,5"</formula1>
      <formula2>0</formula2>
    </dataValidation>
    <dataValidation type="list" allowBlank="1" sqref="AD3:AD98" xr:uid="{00000000-0002-0000-0100-00000A000000}">
      <formula1>"PDF,HTML,Image,None"</formula1>
      <formula2>0</formula2>
    </dataValidation>
    <dataValidation type="list" allowBlank="1" sqref="AK3:AK98" xr:uid="{00000000-0002-0000-0100-00000B000000}">
      <formula1>"To Do,Enriched,Verified,CLOSED - drop,Review"</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Restaurants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Brad Hinkel</cp:lastModifiedBy>
  <cp:revision>0</cp:revision>
  <dcterms:created xsi:type="dcterms:W3CDTF">2026-06-19T22:36:26Z</dcterms:created>
  <dcterms:modified xsi:type="dcterms:W3CDTF">2026-06-20T00:57:18Z</dcterms:modified>
  <dc:language>en-US</dc:language>
</cp:coreProperties>
</file>